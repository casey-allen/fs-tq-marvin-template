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3" yWindow="-103" windowWidth="33120" windowHeight="18000" tabRatio="762" firstSheet="0" activeTab="1" autoFilterDateGrouping="1"/>
  </bookViews>
  <sheets>
    <sheet xmlns:r="http://schemas.openxmlformats.org/officeDocument/2006/relationships" name="Overview" sheetId="1" state="visible" r:id="rId1"/>
    <sheet xmlns:r="http://schemas.openxmlformats.org/officeDocument/2006/relationships" name="Buyer" sheetId="2" state="visible" r:id="rId2"/>
    <sheet xmlns:r="http://schemas.openxmlformats.org/officeDocument/2006/relationships" name="Advisor A" sheetId="3" state="visible" r:id="rId3"/>
    <sheet xmlns:r="http://schemas.openxmlformats.org/officeDocument/2006/relationships" name="Advisor B" sheetId="4" state="visible" r:id="rId4"/>
    <sheet xmlns:r="http://schemas.openxmlformats.org/officeDocument/2006/relationships" name="Advisor C" sheetId="5" state="visible" r:id="rId5"/>
  </sheets>
  <definedNames>
    <definedName name="_bdm.098c0dc1cdce4a2d9601a49b236b5f50.edm" hidden="1">#REF!</definedName>
    <definedName name="_bdm.31eaf11ce9d2494fb5abd24274c39f42.edm" hidden="1">#REF!</definedName>
    <definedName name="_bdm.4e61145f064f4204b407974798549103.edm" hidden="1">#REF!</definedName>
    <definedName name="_bdm.52347fa2826d4edaa4da1784c99e7169.edm" hidden="1">#REF!</definedName>
    <definedName name="_bdm.5c0a69fc313546e897481aa34a2d63e5.edm" hidden="1">#REF!</definedName>
    <definedName name="_bdm.62d28a9dfaf0471e95651a862b117eb0.edm" hidden="1">#REF!</definedName>
    <definedName name="_bdm.738d10a0829844d7b540758ea1d074af.edm" hidden="1">#REF!</definedName>
    <definedName name="_bdm.970803a3dc404e48ba20167bab723d8c.edm" hidden="1">#REF!</definedName>
    <definedName name="_bdm.9f4863e984854089ba8d4a7a6a439cce.edm" hidden="1">#REF!</definedName>
    <definedName name="_bdm.a26292d2b2514f84a7a7e787c2e7377a.edm" hidden="1">#REF!</definedName>
    <definedName name="_bdm.a291176fa9724802ae5ce7ed697da803.edm" hidden="1">#REF!</definedName>
    <definedName name="_bdm.ab87c15f10f849b395380c682a580550.edm" hidden="1">#REF!</definedName>
    <definedName name="_bdm.acaac2e6699b4cdb9dc49c628b948f28.edm" hidden="1">#REF!</definedName>
    <definedName name="_bdm.b7b4435259454cddb1ab997a96fdf01d.edm" hidden="1">#REF!</definedName>
    <definedName name="_bdm.bfd7f9a1c3774e97b34ea6f2b721e5e3.edm" hidden="1">#REF!</definedName>
    <definedName name="_bdm.cae69fc738dc436898ee1903d59e515e.edm" hidden="1">#REF!</definedName>
    <definedName name="_bdm.ce2699391f0a4557b1530cc16c840720.edm" hidden="1">#REF!</definedName>
    <definedName name="_bdm.dfcb95eeee834fb0bd11a4613f4307c8.edm" hidden="1">#REF!</definedName>
    <definedName name="_bdm.dfefbe4a3b4149b297c704466f019cd2.edm" hidden="1">#REF!</definedName>
    <definedName name="_bdm.f67e07cd27474d99ba3cb83de2d55b60.edm" hidden="1">#REF!</definedName>
    <definedName name="_bdm.fb4def79d5d44a88bc018c480ddf127d.edm" hidden="1">#REF!</definedName>
    <definedName name="_Order1" hidden="1">0</definedName>
    <definedName name="_Order2" hidden="1">255</definedName>
    <definedName name="APWREFDTICKER" hidden="1">"'Ticker"</definedName>
    <definedName name="APWREFVTICKER" hidden="1">"'='Assumptions'!$J$6"</definedName>
    <definedName name="Calendar10MonthOption">MATCH(Calendar10Month,Months,0)</definedName>
    <definedName name="Calendar11MonthOption">MATCH(Calendar11Month,Months,0)</definedName>
    <definedName name="Calendar12MonthOption">MATCH(Calendar12Month,Months,0)</definedName>
    <definedName name="Calendar1MonthOption">MATCH(Calendar1Month,Months,0)</definedName>
    <definedName name="Calendar2MonthOption">MATCH(Calendar2Month,Months,0)</definedName>
    <definedName name="Calendar3MonthOption">MATCH(Calendar3Month,Months,0)</definedName>
    <definedName name="Calendar4MonthOption">MATCH(Calendar4Month,Months,0)</definedName>
    <definedName name="Calendar5MonthOption">MATCH(Calendar5Month,Months,0)</definedName>
    <definedName name="Calendar6MonthOption">MATCH(Calendar6Month,Months,0)</definedName>
    <definedName name="Calendar7MonthOption">MATCH(Calendar7Month,Months,0)</definedName>
    <definedName name="Calendar8MonthOption">MATCH(Calendar8Month,Months,0)</definedName>
    <definedName name="Calendar9MonthOption">MATCH(Calendar9Month,Months,0)</definedName>
    <definedName name="CIQWBGuid" hidden="1">"Project Seattle - Platinum Initial Diligence Requests - 10 29 12.xlsx"</definedName>
    <definedName name="CIQWBGuid_1" hidden="1">"9c2f7423-1f3d-41ff-b6a1-ac8074614739"</definedName>
    <definedName name="CIQWBInfo" hidden="1">"{ ""CIQVersion"":""9.45.614.5792"" }"</definedName>
    <definedName name="Days">{0,1,2,3,4,5,6}</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ASH_DIVIDENDS_NET_INCOME_FDIC" hidden="1">"c6738"</definedName>
    <definedName name="IQ_CASH_IN_PROCESS_FDIC" hidden="1">"c6386"</definedName>
    <definedName name="IQ_CCE_FDIC" hidden="1">"c6296"</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COVERAGE_NET_CHARGE_OFFS_FDIC" hidden="1">"c6735"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IMATED_ASSESSABLE_DEPOSITS_FDIC" hidden="1">"c6490"</definedName>
    <definedName name="IQ_ESTIMATED_INSURED_DEPOSITS_FDIC" hidden="1">"c6491"</definedName>
    <definedName name="IQ_EXPENSE_CODE_" hidden="1">"SAG Marketing"</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_CONTRACTS_FDIC" hidden="1">"c6517"</definedName>
    <definedName name="IQ_FX_CONTRACTS_SPOT_FDIC" hidden="1">"c6356"</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EY_MARKET_DEPOSIT_ACCOUNTS_FDIC" hidden="1">"c6553"</definedName>
    <definedName name="IQ_MONTH">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46127.8239699074</definedName>
    <definedName name="IQ_NAMES_REVISION_DATE__1" hidden="1">42027.2895717593</definedName>
    <definedName name="IQ_NET_CHARGE_OFFS_FDIC" hidden="1">"c6641"</definedName>
    <definedName name="IQ_NET_CHARGE_OFFS_LOANS_FDIC" hidden="1">"c6751"</definedName>
    <definedName name="IQ_NET_DEBT_ISSUED_BR" hidden="1">"c753"</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G_TOTAL_OIL_PRODUCTON" hidden="1">"c2059"</definedName>
    <definedName name="IQ_OPENED55" hidden="1">1</definedName>
    <definedName name="IQ_OPER_INC_BR" hidden="1">"c850"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RCENT_CHANGE_EST_FFO_12MONTHS" hidden="1">"c1828"</definedName>
    <definedName name="IQ_PERCENT_CHANGE_EST_FFO_12MONTHS_CIQ" hidden="1">"c3769"</definedName>
    <definedName name="IQ_PERCENT_CHANGE_EST_FFO_18MONTHS" hidden="1">"c1829"</definedName>
    <definedName name="IQ_PERCENT_CHANGE_EST_FFO_18MONTHS_CIQ" hidden="1">"c3770"</definedName>
    <definedName name="IQ_PERCENT_CHANGE_EST_FFO_3MONTHS" hidden="1">"c1825"</definedName>
    <definedName name="IQ_PERCENT_CHANGE_EST_FFO_3MONTHS_CIQ" hidden="1">"c3766"</definedName>
    <definedName name="IQ_PERCENT_CHANGE_EST_FFO_6MONTHS" hidden="1">"c1826"</definedName>
    <definedName name="IQ_PERCENT_CHANGE_EST_FFO_6MONTHS_CIQ" hidden="1">"c3767"</definedName>
    <definedName name="IQ_PERCENT_CHANGE_EST_FFO_9MONTHS" hidden="1">"c1827"</definedName>
    <definedName name="IQ_PERCENT_CHANGE_EST_FFO_9MONTHS_CIQ" hidden="1">"c3768"</definedName>
    <definedName name="IQ_PERCENT_CHANGE_EST_FFO_DAY" hidden="1">"c1822"</definedName>
    <definedName name="IQ_PERCENT_CHANGE_EST_FFO_DAY_CIQ" hidden="1">"c3764"</definedName>
    <definedName name="IQ_PERCENT_CHANGE_EST_FFO_MONTH" hidden="1">"c1824"</definedName>
    <definedName name="IQ_PERCENT_CHANGE_EST_FFO_MONTH_CIQ" hidden="1">"c3765"</definedName>
    <definedName name="IQ_PERCENT_CHANGE_EST_FFO_WEEK" hidden="1">"c1823"</definedName>
    <definedName name="IQ_PERCENT_CHANGE_EST_FFO_WEEK_CIQ" hidden="1">"c3795"</definedName>
    <definedName name="IQ_PERCENT_INSURED_FDIC" hidden="1">"c6374"</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RETURN_ASSETS_FDIC" hidden="1">"c6731"</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EQUITY_BROK" hidden="1">"c1120"</definedName>
    <definedName name="IQ_RETURN_EQUITY_FDIC" hidden="1">"c6732"</definedName>
    <definedName name="IQ_REVALUATION_GAINS_FDIC" hidden="1">"c6428"</definedName>
    <definedName name="IQ_REVALUATION_LOSSES_FDIC" hidden="1">"c6429"</definedName>
    <definedName name="IQ_REVOLVING_SECURED_1_4_NON_ACCRUAL_FFIEC" hidden="1">"c13314"</definedName>
    <definedName name="IQ_RISK_WEIGHTED_ASSETS_FDIC" hidden="1">"c6370"</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IQB_BOOKMARK_COUNT" hidden="1">1</definedName>
    <definedName name="IQB_BOOKMARK_LOCATION_0" hidden="1">#REF!</definedName>
    <definedName name="IQRAA5" hidden="1">"$AA$6:$AA$9"</definedName>
    <definedName name="IQRAB5" hidden="1">"$AB$6:$AB$8"</definedName>
    <definedName name="IQRAC5" hidden="1">"$AC$6:$AC$9"</definedName>
    <definedName name="IQRAD5" hidden="1">"$AD$6:$AD$8"</definedName>
    <definedName name="IQRAE5" hidden="1">"$AE$6:$AE$14"</definedName>
    <definedName name="IQRAF5" hidden="1">"$AF$6:$AF$8"</definedName>
    <definedName name="IQRAG5" hidden="1">"$AG$6:$AG$7"</definedName>
    <definedName name="IQRAH5" hidden="1">"$AH$6:$AH$10"</definedName>
    <definedName name="IQRAI5" hidden="1">"$AI$6:$AI$14"</definedName>
    <definedName name="IQRAJ5" hidden="1">"$AJ$6:$AJ$10"</definedName>
    <definedName name="IQRAK5" hidden="1">"$AK$6:$AK$10"</definedName>
    <definedName name="IQRAL5" hidden="1">"$AL$6:$AL$11"</definedName>
    <definedName name="IQRAM5" hidden="1">"$AM$6:$AM$9"</definedName>
    <definedName name="IQRAN5" hidden="1">"$AN$6:$AN$9"</definedName>
    <definedName name="IQRAO5" hidden="1">"$AO$6:$AO$10"</definedName>
    <definedName name="IQRAP5" hidden="1">"$AP$6:$AP$13"</definedName>
    <definedName name="IQRAQ5" hidden="1">"$AQ$6:$AQ$9"</definedName>
    <definedName name="IQRAR5" hidden="1">"$AR$6:$AR$11"</definedName>
    <definedName name="IQRAS5" hidden="1">"$AS$6:$AS$10"</definedName>
    <definedName name="IQRAT5" hidden="1">"$AT$6"</definedName>
    <definedName name="IQRAU5" hidden="1">"$AU$6:$AU$11"</definedName>
    <definedName name="IQRAV5" hidden="1">"$AV$6:$AV$7"</definedName>
    <definedName name="IQRAW5" hidden="1">"$AW$6:$AW$8"</definedName>
    <definedName name="IQRAX5" hidden="1">"$AX$6:$AX$7"</definedName>
    <definedName name="IQRAY5" hidden="1">"$AY$6:$AY$9"</definedName>
    <definedName name="IQRAZ5" hidden="1">"$AZ$6:$AZ$14"</definedName>
    <definedName name="IQRB5" hidden="1">"$B$6:$B$13"</definedName>
    <definedName name="IQRBA5" hidden="1">"$BA$6:$BA$8"</definedName>
    <definedName name="IQRBB5" hidden="1">"$BB$6:$BB$9"</definedName>
    <definedName name="IQRBC5" hidden="1">"$BC$6:$BC$8"</definedName>
    <definedName name="IQRBD5" hidden="1">"$BD$6:$BD$10"</definedName>
    <definedName name="IQRBE5" hidden="1">"$BE$6:$BE$11"</definedName>
    <definedName name="IQRBF5" hidden="1">"$BF$6:$BF$8"</definedName>
    <definedName name="IQRBG5" hidden="1">"$BG$6:$BG$13"</definedName>
    <definedName name="IQRBI5" hidden="1">"$BI$6:$BI$7"</definedName>
    <definedName name="IQRBJ5" hidden="1">"$BJ$6:$BJ$7"</definedName>
    <definedName name="IQRBK5" hidden="1">"$BK$6:$BK$11"</definedName>
    <definedName name="IQRBL5" hidden="1">"$BL$6:$BL$9"</definedName>
    <definedName name="IQRBM5" hidden="1">"$BM$6:$BM$7"</definedName>
    <definedName name="IQRBN5" hidden="1">"$BN$6:$BN$9"</definedName>
    <definedName name="IQRBO5" hidden="1">"$BO$6:$BO$9"</definedName>
    <definedName name="IQRBP5" hidden="1">"$BP$6:$BP$7"</definedName>
    <definedName name="IQRBQ5" hidden="1">"$BQ$6:$BQ$9"</definedName>
    <definedName name="IQRBR5" hidden="1">"$BR$6:$BR$9"</definedName>
    <definedName name="IQRBS5" hidden="1">"$BS$6:$BS$14"</definedName>
    <definedName name="IQRBT5" hidden="1">"$BT$6:$BT$7"</definedName>
    <definedName name="IQRBU5" hidden="1">"$BU$6:$BU$13"</definedName>
    <definedName name="IQRBV5" hidden="1">"$BV$6:$BV$10"</definedName>
    <definedName name="IQRBW5" hidden="1">"$BW$6:$BW$19"</definedName>
    <definedName name="IQRBX5" hidden="1">"$BX$6:$BX$8"</definedName>
    <definedName name="IQRBY5" hidden="1">"$BY$6:$BY$10"</definedName>
    <definedName name="IQRBZ5" hidden="1">"$BZ$6:$BZ$12"</definedName>
    <definedName name="IQRC5" hidden="1">"$C$6:$C$16"</definedName>
    <definedName name="IQRCA5" hidden="1">"$CA$6:$CA$10"</definedName>
    <definedName name="IQRCompaniesH12"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H20" hidden="1">#REF!</definedName>
    <definedName name="IQRCompaniesH21" hidden="1">#REF!</definedName>
    <definedName name="IQRCompaniesH22" hidden="1">#REF!</definedName>
    <definedName name="IQRCompaniesH23" hidden="1">#REF!</definedName>
    <definedName name="IQRCompaniesH24" hidden="1">#REF!</definedName>
    <definedName name="IQRCompaniesH25" hidden="1">#REF!</definedName>
    <definedName name="IQRCompaniesN12"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niesN20" hidden="1">#REF!</definedName>
    <definedName name="IQRCompaniesN21" hidden="1">#REF!</definedName>
    <definedName name="IQRCompaniesN22" hidden="1">#REF!</definedName>
    <definedName name="IQRCompaniesN23" hidden="1">#REF!</definedName>
    <definedName name="IQRCompaniesN24" hidden="1">#REF!</definedName>
    <definedName name="IQRCompaniesN25" hidden="1">#REF!</definedName>
    <definedName name="IQRD5" hidden="1">"$D$6:$D$11"</definedName>
    <definedName name="IQRF5" hidden="1">"$F$6:$F$8"</definedName>
    <definedName name="IQRG5" hidden="1">"$G$6:$G$8"</definedName>
    <definedName name="IQRH12" hidden="1">"$I$12:$L$12"</definedName>
    <definedName name="IQRH5" hidden="1">"$H$6:$H$17"</definedName>
    <definedName name="IQRI5" hidden="1">"$I$6:$I$8"</definedName>
    <definedName name="IQRJ5" hidden="1">"$J$6:$J$10"</definedName>
    <definedName name="IQRK5" hidden="1">"$K$6:$K$11"</definedName>
    <definedName name="IQRL10" hidden="1">"$M$10"</definedName>
    <definedName name="IQRL100" hidden="1">"$M$100"</definedName>
    <definedName name="IQRL101" hidden="1">"$M$101"</definedName>
    <definedName name="IQRL102" hidden="1">"$M$102"</definedName>
    <definedName name="IQRL103" hidden="1">"$M$103"</definedName>
    <definedName name="IQRL104" hidden="1">"$M$104"</definedName>
    <definedName name="IQRL105" hidden="1">"$M$105"</definedName>
    <definedName name="IQRL106" hidden="1">"$M$106"</definedName>
    <definedName name="IQRL107" hidden="1">"$M$107"</definedName>
    <definedName name="IQRL108" hidden="1">"$M$108"</definedName>
    <definedName name="IQRL109" hidden="1">"$M$109"</definedName>
    <definedName name="IQRL11" hidden="1">"$M$11"</definedName>
    <definedName name="IQRL110" hidden="1">"$M$110"</definedName>
    <definedName name="IQRL111" hidden="1">"$M$111"</definedName>
    <definedName name="IQRL112" hidden="1">"$M$112"</definedName>
    <definedName name="IQRL113" hidden="1">"$M$113"</definedName>
    <definedName name="IQRL114" hidden="1">"$M$114"</definedName>
    <definedName name="IQRL115" hidden="1">"$M$115"</definedName>
    <definedName name="IQRL116" hidden="1">"$M$116"</definedName>
    <definedName name="IQRL117" hidden="1">"$M$117"</definedName>
    <definedName name="IQRL118" hidden="1">"$M$118"</definedName>
    <definedName name="IQRL119" hidden="1">"$M$119"</definedName>
    <definedName name="IQRL12" hidden="1">"$M$12"</definedName>
    <definedName name="IQRL120" hidden="1">"$M$120"</definedName>
    <definedName name="IQRL121" hidden="1">"$M$121"</definedName>
    <definedName name="IQRL122" hidden="1">"$M$122"</definedName>
    <definedName name="IQRL123" hidden="1">"$M$123"</definedName>
    <definedName name="IQRL124" hidden="1">"$M$124"</definedName>
    <definedName name="IQRL125" hidden="1">"$M$125"</definedName>
    <definedName name="IQRL126" hidden="1">"$M$126"</definedName>
    <definedName name="IQRL127" hidden="1">"$M$127"</definedName>
    <definedName name="IQRL128" hidden="1">"$M$128"</definedName>
    <definedName name="IQRL129" hidden="1">"$M$129"</definedName>
    <definedName name="IQRL13" hidden="1">"$M$13"</definedName>
    <definedName name="IQRL130" hidden="1">"$M$130"</definedName>
    <definedName name="IQRL131" hidden="1">"$M$131"</definedName>
    <definedName name="IQRL132" hidden="1">"$M$132"</definedName>
    <definedName name="IQRL133" hidden="1">"$M$133"</definedName>
    <definedName name="IQRL134" hidden="1">"$M$134"</definedName>
    <definedName name="IQRL135" hidden="1">"$M$135"</definedName>
    <definedName name="IQRL136" hidden="1">"$M$136"</definedName>
    <definedName name="IQRL137" hidden="1">"$M$137"</definedName>
    <definedName name="IQRL138" hidden="1">"$M$138"</definedName>
    <definedName name="IQRL139" hidden="1">"$M$139"</definedName>
    <definedName name="IQRL14" hidden="1">"$M$14"</definedName>
    <definedName name="IQRL140" hidden="1">"$M$140"</definedName>
    <definedName name="IQRL141" hidden="1">"$M$141"</definedName>
    <definedName name="IQRL142" hidden="1">"$M$142"</definedName>
    <definedName name="IQRL143" hidden="1">"$M$143"</definedName>
    <definedName name="IQRL144" hidden="1">"$M$144"</definedName>
    <definedName name="IQRL145" hidden="1">"$M$145"</definedName>
    <definedName name="IQRL146" hidden="1">"$M$146"</definedName>
    <definedName name="IQRL147" hidden="1">"$M$147"</definedName>
    <definedName name="IQRL148" hidden="1">"$M$148"</definedName>
    <definedName name="IQRL149" hidden="1">"$M$149"</definedName>
    <definedName name="IQRL15" hidden="1">"$M$15"</definedName>
    <definedName name="IQRL150" hidden="1">"$M$150"</definedName>
    <definedName name="IQRL151" hidden="1">"$M$151"</definedName>
    <definedName name="IQRL152" hidden="1">"$M$152"</definedName>
    <definedName name="IQRL153" hidden="1">"$M$153"</definedName>
    <definedName name="IQRL154" hidden="1">"$M$154"</definedName>
    <definedName name="IQRL155" hidden="1">"$M$155"</definedName>
    <definedName name="IQRL16" hidden="1">"$M$16"</definedName>
    <definedName name="IQRL17" hidden="1">"$M$17"</definedName>
    <definedName name="IQRL18" hidden="1">"$M$18"</definedName>
    <definedName name="IQRL19" hidden="1">"$M$19"</definedName>
    <definedName name="IQRL20" hidden="1">"$M$20"</definedName>
    <definedName name="IQRL21" hidden="1">"$M$21"</definedName>
    <definedName name="IQRL22" hidden="1">"$M$22"</definedName>
    <definedName name="IQRL23" hidden="1">"$M$23"</definedName>
    <definedName name="IQRL24" hidden="1">"$M$24"</definedName>
    <definedName name="IQRL25" hidden="1">"$M$25"</definedName>
    <definedName name="IQRL26" hidden="1">"$M$26"</definedName>
    <definedName name="IQRL27" hidden="1">"$M$27"</definedName>
    <definedName name="IQRL28" hidden="1">"$M$28"</definedName>
    <definedName name="IQRL29" hidden="1">"$M$29"</definedName>
    <definedName name="IQRL30" hidden="1">"$M$30"</definedName>
    <definedName name="IQRL31" hidden="1">"$M$31"</definedName>
    <definedName name="IQRL32" hidden="1">"$M$32"</definedName>
    <definedName name="IQRL33" hidden="1">"$M$33"</definedName>
    <definedName name="IQRL34" hidden="1">"$M$34"</definedName>
    <definedName name="IQRL35" hidden="1">"$M$35"</definedName>
    <definedName name="IQRL36" hidden="1">"$M$36"</definedName>
    <definedName name="IQRL37" hidden="1">"$M$37"</definedName>
    <definedName name="IQRL38" hidden="1">"$M$38"</definedName>
    <definedName name="IQRL39" hidden="1">"$M$39"</definedName>
    <definedName name="IQRL40" hidden="1">"$M$40"</definedName>
    <definedName name="IQRL41" hidden="1">"$M$41"</definedName>
    <definedName name="IQRL42" hidden="1">"$M$42"</definedName>
    <definedName name="IQRL43" hidden="1">"$M$43"</definedName>
    <definedName name="IQRL44" hidden="1">"$M$44"</definedName>
    <definedName name="IQRL45" hidden="1">"$M$45"</definedName>
    <definedName name="IQRL46" hidden="1">"$M$46"</definedName>
    <definedName name="IQRL47" hidden="1">"$M$47"</definedName>
    <definedName name="IQRL48" hidden="1">"$M$48"</definedName>
    <definedName name="IQRL49" hidden="1">"$M$49"</definedName>
    <definedName name="IQRL5" hidden="1">"$L$6:$L$8"</definedName>
    <definedName name="IQRL50" hidden="1">"$M$50"</definedName>
    <definedName name="IQRL51" hidden="1">"$M$51"</definedName>
    <definedName name="IQRL52" hidden="1">"$M$52"</definedName>
    <definedName name="IQRL53" hidden="1">"$M$53"</definedName>
    <definedName name="IQRL54" hidden="1">"$M$54"</definedName>
    <definedName name="IQRL55" hidden="1">"$M$55"</definedName>
    <definedName name="IQRL56" hidden="1">"$M$56"</definedName>
    <definedName name="IQRL57" hidden="1">"$M$57"</definedName>
    <definedName name="IQRL58" hidden="1">"$M$58"</definedName>
    <definedName name="IQRL59" hidden="1">"$M$59"</definedName>
    <definedName name="IQRL6" hidden="1">"$M$6"</definedName>
    <definedName name="IQRL60" hidden="1">"$M$60"</definedName>
    <definedName name="IQRL61" hidden="1">"$M$61"</definedName>
    <definedName name="IQRL62" hidden="1">"$M$62"</definedName>
    <definedName name="IQRL63" hidden="1">"$M$63"</definedName>
    <definedName name="IQRL64" hidden="1">"$M$64"</definedName>
    <definedName name="IQRL65" hidden="1">"$M$65"</definedName>
    <definedName name="IQRL66" hidden="1">"$M$66"</definedName>
    <definedName name="IQRL67" hidden="1">"$M$67"</definedName>
    <definedName name="IQRL68" hidden="1">"$M$68"</definedName>
    <definedName name="IQRL69" hidden="1">"$M$69"</definedName>
    <definedName name="IQRL7" hidden="1">"$M$7"</definedName>
    <definedName name="IQRL70" hidden="1">"$M$70"</definedName>
    <definedName name="IQRL71" hidden="1">"$M$71"</definedName>
    <definedName name="IQRL72" hidden="1">"$M$72"</definedName>
    <definedName name="IQRL73" hidden="1">"$M$73"</definedName>
    <definedName name="IQRL74" hidden="1">"$M$74"</definedName>
    <definedName name="IQRL75" hidden="1">"$M$75"</definedName>
    <definedName name="IQRL76" hidden="1">"$M$76"</definedName>
    <definedName name="IQRL77" hidden="1">"$M$77"</definedName>
    <definedName name="IQRL78" hidden="1">"$M$78"</definedName>
    <definedName name="IQRL79" hidden="1">"$M$79"</definedName>
    <definedName name="IQRL8" hidden="1">"$M$8"</definedName>
    <definedName name="IQRL80" hidden="1">"$M$80"</definedName>
    <definedName name="IQRL81" hidden="1">"$M$81"</definedName>
    <definedName name="IQRL82" hidden="1">"$M$82"</definedName>
    <definedName name="IQRL83" hidden="1">"$M$83"</definedName>
    <definedName name="IQRL84" hidden="1">"$M$84"</definedName>
    <definedName name="IQRL85" hidden="1">"$M$85"</definedName>
    <definedName name="IQRL86" hidden="1">"$M$86"</definedName>
    <definedName name="IQRL87" hidden="1">"$M$87"</definedName>
    <definedName name="IQRL88" hidden="1">"$M$88"</definedName>
    <definedName name="IQRL89" hidden="1">"$M$89"</definedName>
    <definedName name="IQRL9" hidden="1">"$M$9"</definedName>
    <definedName name="IQRL90" hidden="1">"$M$90"</definedName>
    <definedName name="IQRL91" hidden="1">"$M$91"</definedName>
    <definedName name="IQRL92" hidden="1">"$M$92"</definedName>
    <definedName name="IQRL93" hidden="1">"$M$93"</definedName>
    <definedName name="IQRL94" hidden="1">"$M$94"</definedName>
    <definedName name="IQRL95" hidden="1">"$M$95"</definedName>
    <definedName name="IQRL96" hidden="1">"$M$96"</definedName>
    <definedName name="IQRL97" hidden="1">"$M$97"</definedName>
    <definedName name="IQRL98" hidden="1">"$M$98"</definedName>
    <definedName name="IQRL99" hidden="1">"$M$99"</definedName>
    <definedName name="IQRM5" hidden="1">"$M$6:$M$12"</definedName>
    <definedName name="IQRN10" hidden="1">"$N$11"</definedName>
    <definedName name="IQRN12" hidden="1">"$O$12:$R$12"</definedName>
    <definedName name="IQRN5" hidden="1">"$N$6:$N$13"</definedName>
    <definedName name="IQRO5" hidden="1">"$O$6:$O$12"</definedName>
    <definedName name="IQRP5" hidden="1">"$P$6:$P$8"</definedName>
    <definedName name="IQRPeopleH12" hidden="1">#REF!</definedName>
    <definedName name="IQRPeopleH13" hidden="1">#REF!</definedName>
    <definedName name="IQRPeopleH14" hidden="1">#REF!</definedName>
    <definedName name="IQRPeopleH15" hidden="1">#REF!</definedName>
    <definedName name="IQRPeopleN12" hidden="1">#REF!</definedName>
    <definedName name="IQRPeopleN13" hidden="1">#REF!</definedName>
    <definedName name="IQRPeopleN14" hidden="1">#REF!</definedName>
    <definedName name="IQRPeopleN15" hidden="1">#REF!</definedName>
    <definedName name="IQRQ10" hidden="1">"$R$10"</definedName>
    <definedName name="IQRQ100" hidden="1">"$R$100"</definedName>
    <definedName name="IQRQ101" hidden="1">"$R$101"</definedName>
    <definedName name="IQRQ102" hidden="1">"$R$102"</definedName>
    <definedName name="IQRQ103" hidden="1">"$R$103"</definedName>
    <definedName name="IQRQ104" hidden="1">"$R$104"</definedName>
    <definedName name="IQRQ105" hidden="1">"$R$105"</definedName>
    <definedName name="IQRQ106" hidden="1">"$R$106"</definedName>
    <definedName name="IQRQ107" hidden="1">"$R$107"</definedName>
    <definedName name="IQRQ108" hidden="1">"$R$108"</definedName>
    <definedName name="IQRQ109" hidden="1">"$R$109"</definedName>
    <definedName name="IQRQ11" hidden="1">"$R$11"</definedName>
    <definedName name="IQRQ110" hidden="1">"$R$110"</definedName>
    <definedName name="IQRQ111" hidden="1">"$R$111"</definedName>
    <definedName name="IQRQ112" hidden="1">"$R$112"</definedName>
    <definedName name="IQRQ113" hidden="1">"$R$113"</definedName>
    <definedName name="IQRQ114" hidden="1">"$R$114"</definedName>
    <definedName name="IQRQ115" hidden="1">"$R$115"</definedName>
    <definedName name="IQRQ116" hidden="1">"$R$116"</definedName>
    <definedName name="IQRQ117" hidden="1">"$R$117"</definedName>
    <definedName name="IQRQ118" hidden="1">"$R$118"</definedName>
    <definedName name="IQRQ119" hidden="1">"$R$119"</definedName>
    <definedName name="IQRQ12" hidden="1">"$R$12"</definedName>
    <definedName name="IQRQ120" hidden="1">"$R$120"</definedName>
    <definedName name="IQRQ121" hidden="1">"$R$121"</definedName>
    <definedName name="IQRQ122" hidden="1">"$R$122"</definedName>
    <definedName name="IQRQ123" hidden="1">"$R$123"</definedName>
    <definedName name="IQRQ124" hidden="1">"$R$124"</definedName>
    <definedName name="IQRQ125" hidden="1">"$R$125"</definedName>
    <definedName name="IQRQ126" hidden="1">"$R$126"</definedName>
    <definedName name="IQRQ127" hidden="1">"$R$127"</definedName>
    <definedName name="IQRQ128" hidden="1">"$R$128"</definedName>
    <definedName name="IQRQ129" hidden="1">"$R$129"</definedName>
    <definedName name="IQRQ13" hidden="1">"$R$13"</definedName>
    <definedName name="IQRQ130" hidden="1">"$R$130"</definedName>
    <definedName name="IQRQ131" hidden="1">"$R$131"</definedName>
    <definedName name="IQRQ132" hidden="1">"$R$132"</definedName>
    <definedName name="IQRQ133" hidden="1">"$R$133"</definedName>
    <definedName name="IQRQ134" hidden="1">"$R$134"</definedName>
    <definedName name="IQRQ135" hidden="1">"$R$135"</definedName>
    <definedName name="IQRQ136" hidden="1">"$R$136"</definedName>
    <definedName name="IQRQ137" hidden="1">"$R$137"</definedName>
    <definedName name="IQRQ138" hidden="1">"$R$138"</definedName>
    <definedName name="IQRQ139" hidden="1">"$R$139"</definedName>
    <definedName name="IQRQ14" hidden="1">"$R$14"</definedName>
    <definedName name="IQRQ140" hidden="1">"$R$140"</definedName>
    <definedName name="IQRQ141" hidden="1">"$R$141"</definedName>
    <definedName name="IQRQ142" hidden="1">"$R$142"</definedName>
    <definedName name="IQRQ143" hidden="1">"$R$143"</definedName>
    <definedName name="IQRQ144" hidden="1">"$R$144"</definedName>
    <definedName name="IQRQ145" hidden="1">"$R$145"</definedName>
    <definedName name="IQRQ146" hidden="1">"$R$146"</definedName>
    <definedName name="IQRQ147" hidden="1">"$R$147"</definedName>
    <definedName name="IQRQ148" hidden="1">"$R$148"</definedName>
    <definedName name="IQRQ149" hidden="1">"$R$149"</definedName>
    <definedName name="IQRQ15" hidden="1">"$R$15"</definedName>
    <definedName name="IQRQ150" hidden="1">"$R$150"</definedName>
    <definedName name="IQRQ151" hidden="1">"$R$151"</definedName>
    <definedName name="IQRQ152" hidden="1">"$R$152"</definedName>
    <definedName name="IQRQ153" hidden="1">"$R$153"</definedName>
    <definedName name="IQRQ154" hidden="1">"$R$154"</definedName>
    <definedName name="IQRQ155" hidden="1">"$R$155"</definedName>
    <definedName name="IQRQ16" hidden="1">"$R$16"</definedName>
    <definedName name="IQRQ17" hidden="1">"$R$17"</definedName>
    <definedName name="IQRQ18" hidden="1">"$R$18"</definedName>
    <definedName name="IQRQ19" hidden="1">"$R$19"</definedName>
    <definedName name="IQRQ20" hidden="1">"$R$20"</definedName>
    <definedName name="IQRQ21" hidden="1">"$R$21"</definedName>
    <definedName name="IQRQ22" hidden="1">"$R$22"</definedName>
    <definedName name="IQRQ23" hidden="1">"$R$23"</definedName>
    <definedName name="IQRQ24" hidden="1">"$R$24"</definedName>
    <definedName name="IQRQ25" hidden="1">"$R$25"</definedName>
    <definedName name="IQRQ26" hidden="1">"$R$26"</definedName>
    <definedName name="IQRQ27" hidden="1">"$R$27"</definedName>
    <definedName name="IQRQ28" hidden="1">"$R$28"</definedName>
    <definedName name="IQRQ29" hidden="1">"$R$29"</definedName>
    <definedName name="IQRQ30" hidden="1">"$R$30"</definedName>
    <definedName name="IQRQ31" hidden="1">"$R$31"</definedName>
    <definedName name="IQRQ32" hidden="1">"$R$32"</definedName>
    <definedName name="IQRQ33" hidden="1">"$R$33"</definedName>
    <definedName name="IQRQ34" hidden="1">"$R$34"</definedName>
    <definedName name="IQRQ35" hidden="1">"$R$35"</definedName>
    <definedName name="IQRQ36" hidden="1">"$R$36"</definedName>
    <definedName name="IQRQ37" hidden="1">"$R$37"</definedName>
    <definedName name="IQRQ38" hidden="1">"$R$38"</definedName>
    <definedName name="IQRQ39" hidden="1">"$R$39"</definedName>
    <definedName name="IQRQ40" hidden="1">"$R$40"</definedName>
    <definedName name="IQRQ41" hidden="1">"$R$41"</definedName>
    <definedName name="IQRQ42" hidden="1">"$R$42"</definedName>
    <definedName name="IQRQ43" hidden="1">"$R$43"</definedName>
    <definedName name="IQRQ44" hidden="1">"$R$44"</definedName>
    <definedName name="IQRQ45" hidden="1">"$R$45"</definedName>
    <definedName name="IQRQ46" hidden="1">"$R$46"</definedName>
    <definedName name="IQRQ47" hidden="1">"$R$47"</definedName>
    <definedName name="IQRQ48" hidden="1">"$R$48"</definedName>
    <definedName name="IQRQ49" hidden="1">"$R$49"</definedName>
    <definedName name="IQRQ5" hidden="1">"$Q$6:$Q$9"</definedName>
    <definedName name="IQRQ50" hidden="1">"$R$50"</definedName>
    <definedName name="IQRQ51" hidden="1">"$R$51"</definedName>
    <definedName name="IQRQ52" hidden="1">"$R$52"</definedName>
    <definedName name="IQRQ53" hidden="1">"$R$53"</definedName>
    <definedName name="IQRQ54" hidden="1">"$R$54"</definedName>
    <definedName name="IQRQ55" hidden="1">"$R$55"</definedName>
    <definedName name="IQRQ56" hidden="1">"$R$56"</definedName>
    <definedName name="IQRQ57" hidden="1">"$R$57"</definedName>
    <definedName name="IQRQ58" hidden="1">"$R$58"</definedName>
    <definedName name="IQRQ59" hidden="1">"$R$59"</definedName>
    <definedName name="IQRQ6" hidden="1">"$R$6"</definedName>
    <definedName name="IQRQ60" hidden="1">"$R$60"</definedName>
    <definedName name="IQRQ61" hidden="1">"$R$61"</definedName>
    <definedName name="IQRQ62" hidden="1">"$R$62"</definedName>
    <definedName name="IQRQ63" hidden="1">"$R$63"</definedName>
    <definedName name="IQRQ64" hidden="1">"$R$64"</definedName>
    <definedName name="IQRQ65" hidden="1">"$R$65"</definedName>
    <definedName name="IQRQ66" hidden="1">"$R$66"</definedName>
    <definedName name="IQRQ67" hidden="1">"$R$67"</definedName>
    <definedName name="IQRQ68" hidden="1">"$R$68"</definedName>
    <definedName name="IQRQ69" hidden="1">"$R$69"</definedName>
    <definedName name="IQRQ7" hidden="1">"$R$7"</definedName>
    <definedName name="IQRQ70" hidden="1">"$R$70"</definedName>
    <definedName name="IQRQ71" hidden="1">"$R$71"</definedName>
    <definedName name="IQRQ72" hidden="1">"$R$72"</definedName>
    <definedName name="IQRQ73" hidden="1">"$R$73"</definedName>
    <definedName name="IQRQ74" hidden="1">"$R$74"</definedName>
    <definedName name="IQRQ75" hidden="1">"$R$75"</definedName>
    <definedName name="IQRQ76" hidden="1">"$R$76"</definedName>
    <definedName name="IQRQ77" hidden="1">"$R$77"</definedName>
    <definedName name="IQRQ78" hidden="1">"$R$78"</definedName>
    <definedName name="IQRQ79" hidden="1">"$R$79"</definedName>
    <definedName name="IQRQ8" hidden="1">"$R$8"</definedName>
    <definedName name="IQRQ80" hidden="1">"$R$80"</definedName>
    <definedName name="IQRQ81" hidden="1">"$R$81"</definedName>
    <definedName name="IQRQ82" hidden="1">"$R$82"</definedName>
    <definedName name="IQRQ83" hidden="1">"$R$83"</definedName>
    <definedName name="IQRQ84" hidden="1">"$R$84"</definedName>
    <definedName name="IQRQ85" hidden="1">"$R$85"</definedName>
    <definedName name="IQRQ86" hidden="1">"$R$86"</definedName>
    <definedName name="IQRQ87" hidden="1">"$R$87"</definedName>
    <definedName name="IQRQ88" hidden="1">"$R$88"</definedName>
    <definedName name="IQRQ89" hidden="1">"$R$89"</definedName>
    <definedName name="IQRQ9" hidden="1">"$R$9"</definedName>
    <definedName name="IQRQ90" hidden="1">"$R$90"</definedName>
    <definedName name="IQRQ91" hidden="1">"$R$91"</definedName>
    <definedName name="IQRQ92" hidden="1">"$R$92"</definedName>
    <definedName name="IQRQ93" hidden="1">"$R$93"</definedName>
    <definedName name="IQRQ94" hidden="1">"$R$94"</definedName>
    <definedName name="IQRQ95" hidden="1">"$R$95"</definedName>
    <definedName name="IQRQ96" hidden="1">"$R$96"</definedName>
    <definedName name="IQRQ97" hidden="1">"$R$97"</definedName>
    <definedName name="IQRQ98" hidden="1">"$R$98"</definedName>
    <definedName name="IQRQ99" hidden="1">"$R$99"</definedName>
    <definedName name="IQRR10" hidden="1">"$R$11"</definedName>
    <definedName name="IQRR11" hidden="1">"$R$12"</definedName>
    <definedName name="IQRR5" hidden="1">"$R$6:$R$14"</definedName>
    <definedName name="IQRR7" hidden="1">"$R$8"</definedName>
    <definedName name="IQRR8" hidden="1">"$R$9"</definedName>
    <definedName name="IQRR9" hidden="1">"$R$10"</definedName>
    <definedName name="IQRS5" hidden="1">"$S$6:$S$12"</definedName>
    <definedName name="IQRS6" hidden="1">"$S$7"</definedName>
    <definedName name="IQRS7" hidden="1">"$S$8"</definedName>
    <definedName name="IQRS8" hidden="1">"$S$9"</definedName>
    <definedName name="IQRS9" hidden="1">"$S$10"</definedName>
    <definedName name="IQRT10" hidden="1">"$T$11"</definedName>
    <definedName name="IQRT11" hidden="1">"$T$12"</definedName>
    <definedName name="IQRT5" hidden="1">"$T$6:$T$8"</definedName>
    <definedName name="IQRT6" hidden="1">"$T$7"</definedName>
    <definedName name="IQRT7" hidden="1">"$T$8"</definedName>
    <definedName name="IQRT8" hidden="1">"$T$9"</definedName>
    <definedName name="IQRT9" hidden="1">"$T$10"</definedName>
    <definedName name="IQRU5" hidden="1">"$U$6:$U$7"</definedName>
    <definedName name="IQRV5" hidden="1">"$V$6:$V$14"</definedName>
    <definedName name="IQRVWAPA12" hidden="1">#REF!</definedName>
    <definedName name="IQRW5" hidden="1">"$W$6:$W$10"</definedName>
    <definedName name="IQRX5" hidden="1">"$X$6:$X$9"</definedName>
    <definedName name="IQRY5" hidden="1">"$Y$6:$Y$8"</definedName>
    <definedName name="IQRZ5" hidden="1">"$Z$6:$Z$8"</definedName>
    <definedName name="Months">{"January","February","March","April","May","June","July","August","September","October","November","December"}</definedName>
    <definedName name="Project">Overview!$B$2</definedName>
    <definedName name="WeekdayOption">MATCH(WeekStart,Weekdays,0)+10</definedName>
    <definedName name="Weekdays">{"Monday","Tuesday","Wednesday","Thursday","Friday","Saturday","Sunday"}</definedName>
    <definedName name="WeekStartValue">IF(WeekStart="Monday",2,1)</definedName>
    <definedName name="_xlnm.Print_Titles" localSheetId="0">'Overview'!$2:$4</definedName>
    <definedName name="_xlnm.Print_Area" localSheetId="0">'Overview'!$B$2:$M$85</definedName>
    <definedName name="_xlnm._FilterDatabase" localSheetId="1" hidden="1">'Buyer'!$B$4:$K$104</definedName>
    <definedName name="_xlnm.Print_Titles" localSheetId="1">'Buyer'!$2:$4</definedName>
    <definedName name="_xlnm.Print_Area" localSheetId="1">'Buyer'!$B$2:$K$101</definedName>
    <definedName name="_xlnm._FilterDatabase" localSheetId="2" hidden="1">'Advisor A'!$B$4:$K$100</definedName>
    <definedName name="_xlnm.Print_Titles" localSheetId="2">'Advisor A'!$2:$4</definedName>
    <definedName name="_xlnm.Print_Area" localSheetId="2">'Advisor A'!$B$2:$K$100</definedName>
    <definedName name="_xlnm._FilterDatabase" localSheetId="3" hidden="1">'Advisor B'!$B$4:$K$104</definedName>
    <definedName name="_xlnm.Print_Titles" localSheetId="3">'Advisor B'!$2:$4</definedName>
    <definedName name="_xlnm.Print_Area" localSheetId="3">'Advisor B'!$B$2:$K$104</definedName>
    <definedName name="_xlnm._FilterDatabase" localSheetId="4" hidden="1">'Advisor C'!$B$4:$K$97</definedName>
    <definedName name="_xlnm.Print_Titles" localSheetId="4">'Advisor C'!$2:$4</definedName>
    <definedName name="_xlnm.Print_Area" localSheetId="4">'Advisor C'!$B$2:$K$102</definedName>
  </definedNames>
  <calcPr calcId="191028" calcMode="autoNoTable" fullCalcOnLoad="1" iterate="1"/>
</workbook>
</file>

<file path=xl/styles.xml><?xml version="1.0" encoding="utf-8"?>
<styleSheet xmlns="http://schemas.openxmlformats.org/spreadsheetml/2006/main">
  <numFmts count="4">
    <numFmt numFmtId="164" formatCode="mm/dd/yy;@"/>
    <numFmt numFmtId="165" formatCode="_(0_);_(0\);_(&quot;-&quot;_);_(@_)"/>
    <numFmt numFmtId="166" formatCode="0%_);\(0%\);0%_);@_)"/>
    <numFmt numFmtId="167" formatCode="dd"/>
  </numFmts>
  <fonts count="55">
    <font>
      <name val="Arial"/>
      <sz val="10"/>
    </font>
    <font>
      <name val="Arial"/>
      <family val="2"/>
      <color theme="1"/>
      <sz val="11"/>
      <scheme val="minor"/>
    </font>
    <font>
      <name val="Arial"/>
      <family val="2"/>
      <color theme="1"/>
      <sz val="11"/>
      <scheme val="minor"/>
    </font>
    <font>
      <name val="Arial"/>
      <family val="2"/>
      <color theme="1"/>
      <sz val="11"/>
      <scheme val="minor"/>
    </font>
    <font>
      <name val="Arial"/>
      <family val="2"/>
      <color theme="1"/>
      <sz val="11"/>
      <scheme val="minor"/>
    </font>
    <font>
      <name val="Arial"/>
      <family val="2"/>
      <color theme="1"/>
      <sz val="11"/>
      <scheme val="minor"/>
    </font>
    <font>
      <name val="Arial"/>
      <family val="2"/>
      <color theme="1"/>
      <sz val="11"/>
      <scheme val="minor"/>
    </font>
    <font>
      <name val="Arial"/>
      <family val="2"/>
      <color theme="1"/>
      <sz val="11"/>
      <scheme val="minor"/>
    </font>
    <font>
      <name val="Arial"/>
      <family val="2"/>
      <color theme="1"/>
      <sz val="11"/>
      <scheme val="minor"/>
    </font>
    <font>
      <name val="Arial"/>
      <family val="2"/>
      <color theme="1"/>
      <sz val="11"/>
      <scheme val="minor"/>
    </font>
    <font>
      <name val="Arial"/>
      <family val="2"/>
      <color theme="1"/>
      <sz val="11"/>
      <scheme val="minor"/>
    </font>
    <font>
      <name val="Arial"/>
      <family val="2"/>
      <sz val="10"/>
    </font>
    <font>
      <name val="Arial"/>
      <family val="2"/>
      <sz val="8"/>
    </font>
    <font>
      <name val="Calibri"/>
      <family val="2"/>
      <color indexed="8"/>
      <sz val="11"/>
    </font>
    <font>
      <name val="Calibri"/>
      <family val="2"/>
      <color indexed="9"/>
      <sz val="11"/>
    </font>
    <font>
      <name val="Calibri"/>
      <family val="2"/>
      <color indexed="20"/>
      <sz val="11"/>
    </font>
    <font>
      <name val="Calibri"/>
      <family val="2"/>
      <b val="1"/>
      <color indexed="52"/>
      <sz val="11"/>
    </font>
    <font>
      <name val="Calibri"/>
      <family val="2"/>
      <b val="1"/>
      <color indexed="9"/>
      <sz val="11"/>
    </font>
    <font>
      <name val="Calibri"/>
      <family val="2"/>
      <i val="1"/>
      <color indexed="23"/>
      <sz val="11"/>
    </font>
    <font>
      <name val="Calibri"/>
      <family val="2"/>
      <color indexed="17"/>
      <sz val="11"/>
    </font>
    <font>
      <name val="Calibri"/>
      <family val="2"/>
      <b val="1"/>
      <color indexed="56"/>
      <sz val="15"/>
    </font>
    <font>
      <name val="Calibri"/>
      <family val="2"/>
      <b val="1"/>
      <color indexed="56"/>
      <sz val="13"/>
    </font>
    <font>
      <name val="Calibri"/>
      <family val="2"/>
      <b val="1"/>
      <color indexed="56"/>
      <sz val="11"/>
    </font>
    <font>
      <name val="Calibri"/>
      <family val="2"/>
      <color indexed="62"/>
      <sz val="11"/>
    </font>
    <font>
      <name val="Calibri"/>
      <family val="2"/>
      <color indexed="52"/>
      <sz val="11"/>
    </font>
    <font>
      <name val="Calibri"/>
      <family val="2"/>
      <color indexed="60"/>
      <sz val="11"/>
    </font>
    <font>
      <name val="Calibri"/>
      <family val="2"/>
      <b val="1"/>
      <color indexed="63"/>
      <sz val="11"/>
    </font>
    <font>
      <name val="Cambria"/>
      <family val="2"/>
      <b val="1"/>
      <color indexed="56"/>
      <sz val="18"/>
    </font>
    <font>
      <name val="Calibri"/>
      <family val="2"/>
      <b val="1"/>
      <color indexed="8"/>
      <sz val="11"/>
    </font>
    <font>
      <name val="Calibri"/>
      <family val="2"/>
      <color indexed="10"/>
      <sz val="11"/>
    </font>
    <font>
      <name val="Arial"/>
      <family val="2"/>
      <color theme="1"/>
      <sz val="11"/>
      <scheme val="minor"/>
    </font>
    <font>
      <name val="Arial"/>
      <family val="2"/>
      <color theme="11"/>
      <sz val="10"/>
      <u val="single"/>
    </font>
    <font>
      <name val="Arial"/>
      <family val="2"/>
      <sz val="10"/>
    </font>
    <font>
      <name val="Arial"/>
      <family val="2"/>
      <color theme="1"/>
      <sz val="10"/>
    </font>
    <font>
      <name val="Arial"/>
      <family val="2"/>
      <b val="1"/>
      <sz val="10"/>
    </font>
    <font>
      <name val="Arial"/>
      <family val="2"/>
      <color rgb="FFFFFFFF"/>
      <sz val="10"/>
    </font>
    <font>
      <name val="Arial"/>
      <family val="2"/>
      <color theme="1"/>
      <sz val="12"/>
      <scheme val="minor"/>
    </font>
    <font>
      <name val="Arial"/>
      <family val="2"/>
      <b val="1"/>
      <color theme="1"/>
      <sz val="10"/>
    </font>
    <font>
      <name val="Arial"/>
      <family val="2"/>
      <b val="1"/>
      <color rgb="FFFFFFFF"/>
      <sz val="10"/>
    </font>
    <font>
      <name val="Times New Roman"/>
      <family val="1"/>
      <sz val="10"/>
    </font>
    <font>
      <name val="Arial"/>
      <family val="2"/>
      <b val="1"/>
      <color rgb="FFFFFFFF"/>
      <sz val="12"/>
    </font>
    <font>
      <name val="Arial"/>
      <family val="2"/>
      <color rgb="FFFFFFFF"/>
      <sz val="12"/>
    </font>
    <font>
      <name val="Arial"/>
      <family val="2"/>
      <color rgb="FF0000FF"/>
      <sz val="10"/>
    </font>
    <font>
      <name val="Arial"/>
      <family val="2"/>
      <sz val="11"/>
      <scheme val="minor"/>
    </font>
    <font>
      <name val="Arial"/>
      <family val="2"/>
      <b val="1"/>
      <color theme="0"/>
      <sz val="28"/>
      <scheme val="major"/>
    </font>
    <font>
      <name val="Arial"/>
      <family val="2"/>
      <color theme="4" tint="-0.249946592608417"/>
      <sz val="36"/>
      <scheme val="minor"/>
    </font>
    <font>
      <name val="Arial"/>
      <family val="2"/>
      <b val="1"/>
      <color theme="0"/>
      <sz val="11"/>
      <scheme val="major"/>
    </font>
    <font>
      <name val="Arial"/>
      <family val="2"/>
      <color theme="1"/>
      <sz val="16"/>
      <scheme val="minor"/>
    </font>
    <font>
      <name val="Arial"/>
      <family val="2"/>
      <color theme="1"/>
      <sz val="11"/>
      <scheme val="major"/>
    </font>
    <font>
      <name val="garamond"/>
      <family val="2"/>
      <color theme="1"/>
      <sz val="10"/>
    </font>
    <font>
      <name val="Arial"/>
      <family val="2"/>
      <color rgb="FF9C0006"/>
      <sz val="11"/>
      <scheme val="minor"/>
    </font>
    <font>
      <name val="Arial"/>
      <family val="2"/>
      <color rgb="FF9C5700"/>
      <sz val="11"/>
      <scheme val="minor"/>
    </font>
    <font>
      <name val="Arial"/>
      <family val="2"/>
      <color theme="0"/>
      <sz val="10"/>
    </font>
    <font>
      <name val="Arial"/>
      <family val="2"/>
      <b val="1"/>
      <color rgb="FF0000FF"/>
      <sz val="10"/>
    </font>
    <font>
      <name val="Arial"/>
      <family val="2"/>
      <color indexed="81"/>
      <sz val="8"/>
      <scheme val="minor"/>
    </font>
  </fonts>
  <fills count="33">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0499893185216834"/>
        <bgColor indexed="64"/>
      </patternFill>
    </fill>
    <fill>
      <patternFill patternType="solid">
        <fgColor theme="6"/>
        <bgColor indexed="64"/>
      </patternFill>
    </fill>
    <fill>
      <patternFill patternType="solid">
        <fgColor theme="7" tint="0.7999816888943144"/>
        <bgColor indexed="64"/>
      </patternFill>
    </fill>
    <fill>
      <patternFill patternType="solid">
        <fgColor theme="7"/>
        <bgColor indexed="64"/>
      </patternFill>
    </fill>
    <fill>
      <patternFill patternType="solid">
        <fgColor theme="4" tint="-0.249946592608417"/>
        <bgColor indexed="64"/>
      </patternFill>
    </fill>
    <fill>
      <patternFill patternType="solid">
        <fgColor theme="7" tint="-0.499984740745262"/>
        <bgColor indexed="64"/>
      </patternFill>
    </fill>
    <fill>
      <patternFill patternType="solid">
        <fgColor rgb="FFF2F2F2"/>
        <bgColor indexed="64"/>
      </patternFill>
    </fill>
    <fill>
      <patternFill patternType="solid">
        <fgColor rgb="FFFFC7CE"/>
      </patternFill>
    </fill>
    <fill>
      <patternFill patternType="solid">
        <fgColor rgb="FFFFEB9C"/>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right/>
      <top style="thin">
        <color indexed="64"/>
      </top>
      <bottom style="thin">
        <color indexed="64"/>
      </bottom>
      <diagonal/>
    </border>
    <border>
      <left style="thin">
        <color theme="0" tint="-0.0499893185216834"/>
      </left>
      <right style="thin">
        <color theme="0" tint="-0.0499893185216834"/>
      </right>
      <top style="thin">
        <color theme="0" tint="-0.0499893185216834"/>
      </top>
      <bottom style="thin">
        <color theme="0" tint="-0.0499893185216834"/>
      </bottom>
      <diagonal/>
    </border>
    <border>
      <left/>
      <right style="thick">
        <color theme="0"/>
      </right>
      <top/>
      <bottom style="thin">
        <color auto="1"/>
      </bottom>
      <diagonal/>
    </border>
    <border>
      <left style="thick">
        <color theme="0"/>
      </left>
      <right style="thick">
        <color theme="0"/>
      </right>
      <top/>
      <bottom style="thin">
        <color auto="1"/>
      </bottom>
      <diagonal/>
    </border>
    <border>
      <left style="thick">
        <color theme="0"/>
      </left>
      <right/>
      <top/>
      <bottom style="thin">
        <color auto="1"/>
      </bottom>
      <diagonal/>
    </border>
    <border>
      <left/>
      <right/>
      <top/>
      <bottom style="medium">
        <color indexed="64"/>
      </bottom>
      <diagonal/>
    </border>
    <border>
      <left/>
      <right/>
      <top/>
      <bottom style="thin">
        <color theme="0" tint="-0.0499893185216834"/>
      </bottom>
      <diagonal/>
    </border>
    <border>
      <left/>
      <right style="thick">
        <color theme="0"/>
      </right>
      <top/>
      <bottom/>
      <diagonal/>
    </border>
    <border>
      <left/>
      <right style="thin">
        <color theme="0" tint="-0.1499374370555742"/>
      </right>
      <top style="thin">
        <color theme="0" tint="-0.1499679555650502"/>
      </top>
      <bottom/>
      <diagonal/>
    </border>
    <border>
      <left/>
      <right style="thin">
        <color theme="0" tint="-0.1499679555650502"/>
      </right>
      <top/>
      <bottom/>
      <diagonal/>
    </border>
  </borders>
  <cellStyleXfs count="593">
    <xf numFmtId="0" fontId="0" fillId="0" borderId="0"/>
    <xf numFmtId="0" fontId="13" fillId="2" borderId="0"/>
    <xf numFmtId="0" fontId="13" fillId="3" borderId="0"/>
    <xf numFmtId="0" fontId="13" fillId="4" borderId="0"/>
    <xf numFmtId="0" fontId="13" fillId="5" borderId="0"/>
    <xf numFmtId="0" fontId="13" fillId="6" borderId="0"/>
    <xf numFmtId="0" fontId="13" fillId="7" borderId="0"/>
    <xf numFmtId="0" fontId="13" fillId="8" borderId="0"/>
    <xf numFmtId="0" fontId="13" fillId="9" borderId="0"/>
    <xf numFmtId="0" fontId="13" fillId="10" borderId="0"/>
    <xf numFmtId="0" fontId="13" fillId="5" borderId="0"/>
    <xf numFmtId="0" fontId="13" fillId="8" borderId="0"/>
    <xf numFmtId="0" fontId="13" fillId="11" borderId="0"/>
    <xf numFmtId="0" fontId="14" fillId="12" borderId="0"/>
    <xf numFmtId="0" fontId="14" fillId="9" borderId="0"/>
    <xf numFmtId="0" fontId="14" fillId="10" borderId="0"/>
    <xf numFmtId="0" fontId="14" fillId="13" borderId="0"/>
    <xf numFmtId="0" fontId="14" fillId="14" borderId="0"/>
    <xf numFmtId="0" fontId="14" fillId="15" borderId="0"/>
    <xf numFmtId="0" fontId="14" fillId="16" borderId="0"/>
    <xf numFmtId="0" fontId="14" fillId="17" borderId="0"/>
    <xf numFmtId="0" fontId="14" fillId="18" borderId="0"/>
    <xf numFmtId="0" fontId="14" fillId="13" borderId="0"/>
    <xf numFmtId="0" fontId="14" fillId="14" borderId="0"/>
    <xf numFmtId="0" fontId="14" fillId="19" borderId="0"/>
    <xf numFmtId="0" fontId="15" fillId="3" borderId="0"/>
    <xf numFmtId="0" fontId="16" fillId="20" borderId="1"/>
    <xf numFmtId="0" fontId="17" fillId="21" borderId="2"/>
    <xf numFmtId="0" fontId="18" fillId="0" borderId="0"/>
    <xf numFmtId="0" fontId="19" fillId="4" borderId="0"/>
    <xf numFmtId="0" fontId="20" fillId="0" borderId="3"/>
    <xf numFmtId="0" fontId="21" fillId="0" borderId="4"/>
    <xf numFmtId="0" fontId="22" fillId="0" borderId="5"/>
    <xf numFmtId="0" fontId="22" fillId="0" borderId="0"/>
    <xf numFmtId="0" fontId="23" fillId="7" borderId="1"/>
    <xf numFmtId="0" fontId="24" fillId="0" borderId="6"/>
    <xf numFmtId="0" fontId="25" fillId="22" borderId="0"/>
    <xf numFmtId="0" fontId="32" fillId="23" borderId="7"/>
    <xf numFmtId="0" fontId="26" fillId="20" borderId="8"/>
    <xf numFmtId="0" fontId="27" fillId="0" borderId="0"/>
    <xf numFmtId="0" fontId="28" fillId="0" borderId="9"/>
    <xf numFmtId="0" fontId="29" fillId="0" borderId="0"/>
    <xf numFmtId="0" fontId="30" fillId="0" borderId="0"/>
    <xf numFmtId="0" fontId="31" fillId="0" borderId="0"/>
    <xf numFmtId="9" fontId="32" fillId="0" borderId="0"/>
    <xf numFmtId="0" fontId="36" fillId="0" borderId="0"/>
    <xf numFmtId="0" fontId="39" fillId="0" borderId="0"/>
    <xf numFmtId="0" fontId="43" fillId="0" borderId="0"/>
    <xf numFmtId="0" fontId="32" fillId="0" borderId="0"/>
    <xf numFmtId="0" fontId="44" fillId="28" borderId="0" applyAlignment="1">
      <alignment horizontal="center"/>
    </xf>
    <xf numFmtId="0" fontId="45" fillId="0" borderId="0" applyAlignment="1">
      <alignment horizontal="left" indent="3"/>
    </xf>
    <xf numFmtId="0" fontId="46" fillId="29" borderId="18" applyAlignment="1">
      <alignment horizontal="left" vertical="center" indent="1"/>
    </xf>
    <xf numFmtId="0" fontId="46" fillId="28" borderId="18" applyAlignment="1">
      <alignment horizontal="left" indent="1"/>
    </xf>
    <xf numFmtId="167" fontId="47" fillId="0" borderId="19" applyAlignment="1">
      <alignment horizontal="left" vertical="center" wrapText="1" indent="1"/>
    </xf>
    <xf numFmtId="167" fontId="48" fillId="0" borderId="20" applyAlignment="1">
      <alignment horizontal="left" vertical="top" wrapText="1" indent="1"/>
    </xf>
    <xf numFmtId="0" fontId="49" fillId="0" borderId="0"/>
    <xf numFmtId="0" fontId="30" fillId="0" borderId="0"/>
    <xf numFmtId="43" fontId="30" fillId="0" borderId="0"/>
    <xf numFmtId="0" fontId="32" fillId="0" borderId="0"/>
    <xf numFmtId="0" fontId="30" fillId="0" borderId="0"/>
    <xf numFmtId="0" fontId="30" fillId="0" borderId="0"/>
    <xf numFmtId="44" fontId="13" fillId="0" borderId="0"/>
    <xf numFmtId="9" fontId="13" fillId="0" borderId="0"/>
    <xf numFmtId="43" fontId="13" fillId="0" borderId="0"/>
    <xf numFmtId="9" fontId="49" fillId="0" borderId="0"/>
    <xf numFmtId="43" fontId="49" fillId="0" borderId="0"/>
    <xf numFmtId="0" fontId="30" fillId="0" borderId="0"/>
    <xf numFmtId="9" fontId="32"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50" fillId="31" borderId="0"/>
    <xf numFmtId="0" fontId="51" fillId="32" borderId="0"/>
    <xf numFmtId="0" fontId="32"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xf numFmtId="43" fontId="30" fillId="0" borderId="0"/>
    <xf numFmtId="0" fontId="30" fillId="0" borderId="0"/>
    <xf numFmtId="0" fontId="30" fillId="0" borderId="0"/>
    <xf numFmtId="0" fontId="30" fillId="0" borderId="0"/>
    <xf numFmtId="0" fontId="30" fillId="0" borderId="0"/>
  </cellStyleXfs>
  <cellXfs count="79">
    <xf numFmtId="0" fontId="0" fillId="0" borderId="0" pivotButton="0" quotePrefix="0" xfId="0"/>
    <xf numFmtId="0" fontId="11" fillId="0" borderId="0" pivotButton="0" quotePrefix="0" xfId="0"/>
    <xf numFmtId="0" fontId="11" fillId="0" borderId="0" applyAlignment="1" pivotButton="0" quotePrefix="0" xfId="0">
      <alignment wrapText="1"/>
    </xf>
    <xf numFmtId="0" fontId="11" fillId="0" borderId="0" applyAlignment="1" pivotButton="0" quotePrefix="0" xfId="0">
      <alignment horizontal="left" wrapText="1"/>
    </xf>
    <xf numFmtId="0" fontId="34" fillId="0" borderId="0" pivotButton="0" quotePrefix="0" xfId="0"/>
    <xf numFmtId="0" fontId="11" fillId="0" borderId="0" applyAlignment="1" pivotButton="0" quotePrefix="0" xfId="0">
      <alignment vertical="center"/>
    </xf>
    <xf numFmtId="0" fontId="33" fillId="0" borderId="0" pivotButton="0" quotePrefix="0" xfId="62"/>
    <xf numFmtId="0" fontId="11" fillId="0" borderId="0" pivotButton="0" quotePrefix="0" xfId="62"/>
    <xf numFmtId="0" fontId="37" fillId="0" borderId="0" pivotButton="0" quotePrefix="0" xfId="62"/>
    <xf numFmtId="0" fontId="11" fillId="0" borderId="12" applyAlignment="1" pivotButton="0" quotePrefix="0" xfId="0">
      <alignment horizontal="center" vertical="center"/>
    </xf>
    <xf numFmtId="164" fontId="11" fillId="0" borderId="12" applyAlignment="1" pivotButton="0" quotePrefix="0" xfId="0">
      <alignment horizontal="center" vertical="center"/>
    </xf>
    <xf numFmtId="0" fontId="11" fillId="0" borderId="12" applyAlignment="1" pivotButton="0" quotePrefix="0" xfId="0">
      <alignment horizontal="left" vertical="center" wrapText="1"/>
    </xf>
    <xf numFmtId="0" fontId="34" fillId="0" borderId="0" applyAlignment="1" pivotButton="0" quotePrefix="0" xfId="0">
      <alignment horizontal="centerContinuous" vertical="center"/>
    </xf>
    <xf numFmtId="0" fontId="34" fillId="0" borderId="13" applyAlignment="1" pivotButton="0" quotePrefix="0" xfId="0">
      <alignment horizontal="center" vertical="center"/>
    </xf>
    <xf numFmtId="0" fontId="34" fillId="0" borderId="14" applyAlignment="1" pivotButton="0" quotePrefix="0" xfId="0">
      <alignment horizontal="center" vertical="center"/>
    </xf>
    <xf numFmtId="0" fontId="34" fillId="0" borderId="15" applyAlignment="1" pivotButton="0" quotePrefix="0" xfId="0">
      <alignment horizontal="center" vertical="center"/>
    </xf>
    <xf numFmtId="0" fontId="34" fillId="0" borderId="10" applyAlignment="1" pivotButton="0" quotePrefix="0" xfId="0">
      <alignment vertical="center"/>
    </xf>
    <xf numFmtId="41" fontId="11" fillId="0" borderId="11" applyAlignment="1" pivotButton="0" quotePrefix="0" xfId="0">
      <alignment horizontal="center" vertical="center"/>
    </xf>
    <xf numFmtId="0" fontId="34" fillId="0" borderId="0" applyAlignment="1" pivotButton="0" quotePrefix="0" xfId="0">
      <alignment horizontal="right" vertical="center"/>
    </xf>
    <xf numFmtId="165" fontId="11" fillId="0" borderId="0" applyAlignment="1" pivotButton="0" quotePrefix="0" xfId="0">
      <alignment horizontal="right" vertical="center" indent="2"/>
    </xf>
    <xf numFmtId="165" fontId="34" fillId="0" borderId="10" applyAlignment="1" pivotButton="0" quotePrefix="0" xfId="0">
      <alignment horizontal="right" vertical="center" indent="2"/>
    </xf>
    <xf numFmtId="0" fontId="11" fillId="0" borderId="12" applyAlignment="1" pivotButton="0" quotePrefix="0" xfId="0">
      <alignment vertical="center" wrapText="1"/>
    </xf>
    <xf numFmtId="0" fontId="11" fillId="0" borderId="12" applyAlignment="1" pivotButton="0" quotePrefix="0" xfId="0">
      <alignment horizontal="center" vertical="center" wrapText="1"/>
    </xf>
    <xf numFmtId="0" fontId="34" fillId="0" borderId="0" applyAlignment="1" pivotButton="0" quotePrefix="0" xfId="0">
      <alignment horizontal="center"/>
    </xf>
    <xf numFmtId="0" fontId="34" fillId="0" borderId="17" applyAlignment="1" pivotButton="0" quotePrefix="0" xfId="0">
      <alignment horizontal="left" wrapText="1"/>
    </xf>
    <xf numFmtId="0" fontId="34" fillId="0" borderId="17" applyAlignment="1" pivotButton="0" quotePrefix="0" xfId="0">
      <alignment horizontal="left"/>
    </xf>
    <xf numFmtId="0" fontId="34" fillId="0" borderId="0" applyAlignment="1" pivotButton="0" quotePrefix="0" xfId="0">
      <alignment vertical="center"/>
    </xf>
    <xf numFmtId="0" fontId="35" fillId="0" borderId="0" pivotButton="0" quotePrefix="0" xfId="0"/>
    <xf numFmtId="0" fontId="40" fillId="25" borderId="0" applyAlignment="1" pivotButton="0" quotePrefix="0" xfId="62">
      <alignment horizontal="left" vertical="center"/>
    </xf>
    <xf numFmtId="0" fontId="41" fillId="25" borderId="0" pivotButton="0" quotePrefix="0" xfId="62"/>
    <xf numFmtId="0" fontId="40" fillId="25" borderId="0" applyAlignment="1" pivotButton="0" quotePrefix="0" xfId="62">
      <alignment vertical="center"/>
    </xf>
    <xf numFmtId="0" fontId="35" fillId="25" borderId="0" pivotButton="0" quotePrefix="0" xfId="62"/>
    <xf numFmtId="0" fontId="38" fillId="25" borderId="0" applyAlignment="1" pivotButton="0" quotePrefix="0" xfId="62">
      <alignment horizontal="left" vertical="center"/>
    </xf>
    <xf numFmtId="0" fontId="38" fillId="25" borderId="0" pivotButton="0" quotePrefix="0" xfId="62"/>
    <xf numFmtId="0" fontId="38" fillId="25" borderId="0" applyAlignment="1" pivotButton="0" quotePrefix="0" xfId="62">
      <alignment vertical="center"/>
    </xf>
    <xf numFmtId="14" fontId="38" fillId="25" borderId="0" applyAlignment="1" pivotButton="0" quotePrefix="0" xfId="62">
      <alignment horizontal="right" vertical="center" indent="1"/>
    </xf>
    <xf numFmtId="0" fontId="34" fillId="26" borderId="10" applyAlignment="1" pivotButton="0" quotePrefix="0" xfId="0">
      <alignment vertical="center"/>
    </xf>
    <xf numFmtId="0" fontId="35" fillId="24" borderId="16" pivotButton="0" quotePrefix="0" xfId="0"/>
    <xf numFmtId="0" fontId="34" fillId="24" borderId="16" applyAlignment="1" pivotButton="0" quotePrefix="0" xfId="0">
      <alignment horizontal="right" vertical="center"/>
    </xf>
    <xf numFmtId="0" fontId="34" fillId="27" borderId="16" applyAlignment="1" pivotButton="0" quotePrefix="0" xfId="0">
      <alignment vertical="center"/>
    </xf>
    <xf numFmtId="0" fontId="34" fillId="27" borderId="16" applyAlignment="1" pivotButton="0" quotePrefix="0" xfId="0">
      <alignment horizontal="right" vertical="center"/>
    </xf>
    <xf numFmtId="165" fontId="34" fillId="26" borderId="10" applyAlignment="1" pivotButton="0" quotePrefix="0" xfId="0">
      <alignment horizontal="right" vertical="center" indent="2"/>
    </xf>
    <xf numFmtId="0" fontId="11" fillId="27" borderId="16" pivotButton="0" quotePrefix="0" xfId="0"/>
    <xf numFmtId="0" fontId="11" fillId="0" borderId="0" applyAlignment="1" pivotButton="0" quotePrefix="0" xfId="0">
      <alignment horizontal="right"/>
    </xf>
    <xf numFmtId="0" fontId="34" fillId="0" borderId="0" applyAlignment="1" pivotButton="0" quotePrefix="0" xfId="0">
      <alignment horizontal="left"/>
    </xf>
    <xf numFmtId="0" fontId="42" fillId="0" borderId="0" applyAlignment="1" pivotButton="0" quotePrefix="0" xfId="0">
      <alignment vertical="center"/>
    </xf>
    <xf numFmtId="49" fontId="11" fillId="0" borderId="0" applyAlignment="1" pivotButton="0" quotePrefix="0" xfId="0">
      <alignment vertical="center"/>
    </xf>
    <xf numFmtId="0" fontId="37" fillId="0" borderId="0" applyAlignment="1" pivotButton="0" quotePrefix="0" xfId="62">
      <alignment horizontal="left" vertical="top" wrapText="1"/>
    </xf>
    <xf numFmtId="0" fontId="38" fillId="25" borderId="0" applyAlignment="1" pivotButton="0" quotePrefix="0" xfId="62">
      <alignment horizontal="left" vertical="top" wrapText="1"/>
    </xf>
    <xf numFmtId="164" fontId="11" fillId="0" borderId="12" applyAlignment="1" pivotButton="0" quotePrefix="0" xfId="0">
      <alignment horizontal="left" vertical="center" wrapText="1"/>
    </xf>
    <xf numFmtId="0" fontId="11" fillId="0" borderId="0" applyAlignment="1" pivotButton="0" quotePrefix="0" xfId="0">
      <alignment horizontal="left" vertical="top" wrapText="1"/>
    </xf>
    <xf numFmtId="0" fontId="11" fillId="0" borderId="12" applyAlignment="1" pivotButton="0" quotePrefix="1" xfId="0">
      <alignment horizontal="center" vertical="center" wrapText="1"/>
    </xf>
    <xf numFmtId="9" fontId="34" fillId="0" borderId="0" applyAlignment="1" pivotButton="0" quotePrefix="0" xfId="61">
      <alignment horizontal="center"/>
    </xf>
    <xf numFmtId="165" fontId="11" fillId="0" borderId="0" applyAlignment="1" pivotButton="0" quotePrefix="0" xfId="0">
      <alignment horizontal="right" vertical="center" indent="1"/>
    </xf>
    <xf numFmtId="166" fontId="11" fillId="0" borderId="0" applyAlignment="1" pivotButton="0" quotePrefix="0" xfId="61">
      <alignment horizontal="right" vertical="center"/>
    </xf>
    <xf numFmtId="165" fontId="34" fillId="26" borderId="10" applyAlignment="1" pivotButton="0" quotePrefix="0" xfId="0">
      <alignment horizontal="right" vertical="center" indent="1"/>
    </xf>
    <xf numFmtId="166" fontId="34" fillId="26" borderId="10" applyAlignment="1" pivotButton="0" quotePrefix="0" xfId="61">
      <alignment horizontal="right" vertical="center"/>
    </xf>
    <xf numFmtId="166" fontId="11" fillId="0" borderId="0" applyAlignment="1" pivotButton="0" quotePrefix="0" xfId="61">
      <alignment horizontal="right" vertical="center"/>
    </xf>
    <xf numFmtId="165" fontId="34" fillId="0" borderId="10" applyAlignment="1" pivotButton="0" quotePrefix="0" xfId="0">
      <alignment horizontal="right" vertical="center" indent="1"/>
    </xf>
    <xf numFmtId="166" fontId="34" fillId="0" borderId="10" applyAlignment="1" pivotButton="0" quotePrefix="0" xfId="61">
      <alignment horizontal="right" vertical="center"/>
    </xf>
    <xf numFmtId="0" fontId="52" fillId="0" borderId="0" pivotButton="0" quotePrefix="0" xfId="0"/>
    <xf numFmtId="0" fontId="52" fillId="0" borderId="0" pivotButton="0" quotePrefix="0" xfId="62"/>
    <xf numFmtId="0" fontId="52" fillId="0" borderId="0" pivotButton="0" quotePrefix="0" xfId="63"/>
    <xf numFmtId="0" fontId="53" fillId="30" borderId="16" applyAlignment="1" pivotButton="0" quotePrefix="1" xfId="0">
      <alignment vertical="center"/>
    </xf>
    <xf numFmtId="49" fontId="53" fillId="24" borderId="16" applyAlignment="1" pivotButton="0" quotePrefix="1" xfId="0">
      <alignment vertical="center"/>
    </xf>
    <xf numFmtId="0" fontId="53" fillId="24" borderId="16" applyAlignment="1" pivotButton="0" quotePrefix="0" xfId="0">
      <alignment vertical="center"/>
    </xf>
    <xf numFmtId="0" fontId="11" fillId="0" borderId="12" applyAlignment="1" pivotButton="0" quotePrefix="1" xfId="0">
      <alignment horizontal="left" vertical="center" wrapText="1"/>
    </xf>
    <xf numFmtId="165" fontId="11" fillId="0" borderId="0" applyAlignment="1" pivotButton="0" quotePrefix="0" xfId="0">
      <alignment horizontal="right" vertical="center" indent="1"/>
    </xf>
    <xf numFmtId="166" fontId="11" fillId="0" borderId="0" applyAlignment="1" pivotButton="0" quotePrefix="0" xfId="61">
      <alignment horizontal="right" vertical="center"/>
    </xf>
    <xf numFmtId="165" fontId="11" fillId="0" borderId="0" applyAlignment="1" pivotButton="0" quotePrefix="0" xfId="0">
      <alignment horizontal="right" vertical="center" indent="2"/>
    </xf>
    <xf numFmtId="165" fontId="34" fillId="26" borderId="10" applyAlignment="1" pivotButton="0" quotePrefix="0" xfId="0">
      <alignment horizontal="right" vertical="center" indent="1"/>
    </xf>
    <xf numFmtId="166" fontId="34" fillId="26" borderId="10" applyAlignment="1" pivotButton="0" quotePrefix="0" xfId="61">
      <alignment horizontal="right" vertical="center"/>
    </xf>
    <xf numFmtId="165" fontId="34" fillId="26" borderId="10" applyAlignment="1" pivotButton="0" quotePrefix="0" xfId="0">
      <alignment horizontal="right" vertical="center" indent="2"/>
    </xf>
    <xf numFmtId="165" fontId="34" fillId="0" borderId="10" applyAlignment="1" pivotButton="0" quotePrefix="0" xfId="0">
      <alignment horizontal="right" vertical="center" indent="1"/>
    </xf>
    <xf numFmtId="166" fontId="34" fillId="0" borderId="10" applyAlignment="1" pivotButton="0" quotePrefix="0" xfId="61">
      <alignment horizontal="right" vertical="center"/>
    </xf>
    <xf numFmtId="165" fontId="34" fillId="0" borderId="10" applyAlignment="1" pivotButton="0" quotePrefix="0" xfId="0">
      <alignment horizontal="right" vertical="center" indent="2"/>
    </xf>
    <xf numFmtId="164" fontId="11" fillId="0" borderId="12" applyAlignment="1" pivotButton="0" quotePrefix="0" xfId="0">
      <alignment vertical="top" wrapText="1"/>
    </xf>
    <xf numFmtId="0" fontId="11" fillId="0" borderId="12" applyAlignment="1" pivotButton="0" quotePrefix="0" xfId="0">
      <alignment vertical="top" wrapText="1"/>
    </xf>
    <xf numFmtId="0" fontId="11" fillId="0" borderId="12" applyAlignment="1" pivotButton="0" quotePrefix="1" xfId="0">
      <alignment vertical="top" wrapText="1"/>
    </xf>
  </cellXfs>
  <cellStyles count="593">
    <cellStyle name="Normal" xfId="0" builtinId="0"/>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Explanatory Text" xfId="28" builtinId="53"/>
    <cellStyle name="Good" xfId="29" builtinId="26"/>
    <cellStyle name="Heading 1" xfId="30" builtinId="16"/>
    <cellStyle name="Heading 2" xfId="31" builtinId="17"/>
    <cellStyle name="Heading 3" xfId="32" builtinId="18"/>
    <cellStyle name="Heading 4" xfId="33" builtinId="19"/>
    <cellStyle name="Input" xfId="34" builtinId="20"/>
    <cellStyle name="Linked Cell" xfId="35" builtinId="24"/>
    <cellStyle name="Neutral" xfId="36" builtinId="28"/>
    <cellStyle name="Note" xfId="37" builtinId="10"/>
    <cellStyle name="Output" xfId="38" builtinId="21"/>
    <cellStyle name="Title" xfId="39" builtinId="15"/>
    <cellStyle name="Total" xfId="40" builtinId="25"/>
    <cellStyle name="Warning Text" xfId="41" builtinId="11"/>
    <cellStyle name="Normal 2" xfId="42"/>
    <cellStyle name="Followed Hyperlink" xfId="43" builtinId="9" hidden="1"/>
    <cellStyle name="Percent" xfId="44" builtinId="5"/>
    <cellStyle name="Normal 3" xfId="45"/>
    <cellStyle name="Normal_Doherty Financials (Base)" xfId="46"/>
    <cellStyle name="Normal 155" xfId="47"/>
    <cellStyle name="Normal 10" xfId="48"/>
    <cellStyle name="Title 36" xfId="49"/>
    <cellStyle name="Heading 1 4" xfId="50"/>
    <cellStyle name="Heading 2 4" xfId="51"/>
    <cellStyle name="Heading 3 3" xfId="52"/>
    <cellStyle name="Day" xfId="53"/>
    <cellStyle name="Day Detail" xfId="54"/>
    <cellStyle name="Normal 5" xfId="55"/>
    <cellStyle name="Normal 2 3" xfId="56"/>
    <cellStyle name="Comma 2" xfId="57"/>
    <cellStyle name="Normal 3 2" xfId="58"/>
    <cellStyle name="Normal 4" xfId="59"/>
    <cellStyle name="Normal 2 2" xfId="60"/>
    <cellStyle name="Currency 2" xfId="61"/>
    <cellStyle name="Percent 2 2" xfId="62"/>
    <cellStyle name="Comma 3" xfId="63"/>
    <cellStyle name="Percent 3" xfId="64"/>
    <cellStyle name="Comma 2 2" xfId="65"/>
    <cellStyle name="Normal 2 4" xfId="66"/>
    <cellStyle name="Percent 2" xfId="67"/>
    <cellStyle name="Normal 2 3 2" xfId="68"/>
    <cellStyle name="Comma 2 3" xfId="69"/>
    <cellStyle name="Normal 4 2" xfId="70"/>
    <cellStyle name="Normal 2 2 2" xfId="71"/>
    <cellStyle name="Normal 2 5" xfId="72"/>
    <cellStyle name="Normal 2 3 3" xfId="73"/>
    <cellStyle name="Comma 2 4" xfId="74"/>
    <cellStyle name="Normal 4 3" xfId="75"/>
    <cellStyle name="Normal 2 2 3" xfId="76"/>
    <cellStyle name="Normal 2 4 2" xfId="77"/>
    <cellStyle name="Normal 2 3 2 2" xfId="78"/>
    <cellStyle name="Comma 2 3 2" xfId="79"/>
    <cellStyle name="Normal 4 2 2" xfId="80"/>
    <cellStyle name="Normal 2 2 2 2" xfId="81"/>
    <cellStyle name="Normal 6" xfId="82"/>
    <cellStyle name="Normal 2 6" xfId="83"/>
    <cellStyle name="Normal 2 3 4" xfId="84"/>
    <cellStyle name="Comma 2 5" xfId="85"/>
    <cellStyle name="Normal 4 4" xfId="86"/>
    <cellStyle name="Normal 2 2 4" xfId="87"/>
    <cellStyle name="Normal 2 4 3" xfId="88"/>
    <cellStyle name="Normal 2 3 2 3" xfId="89"/>
    <cellStyle name="Comma 2 3 3" xfId="90"/>
    <cellStyle name="Normal 4 2 3" xfId="91"/>
    <cellStyle name="Normal 2 2 2 3" xfId="92"/>
    <cellStyle name="Normal 2 5 2" xfId="93"/>
    <cellStyle name="Normal 2 3 3 2" xfId="94"/>
    <cellStyle name="Comma 2 4 2" xfId="95"/>
    <cellStyle name="Normal 4 3 2" xfId="96"/>
    <cellStyle name="Normal 2 2 3 2" xfId="97"/>
    <cellStyle name="Normal 2 4 2 2" xfId="98"/>
    <cellStyle name="Normal 2 3 2 2 2" xfId="99"/>
    <cellStyle name="Comma 2 3 2 2" xfId="100"/>
    <cellStyle name="Normal 4 2 2 2" xfId="101"/>
    <cellStyle name="Normal 2 2 2 2 2" xfId="102"/>
    <cellStyle name="Normal 6 2" xfId="103"/>
    <cellStyle name="Normal 7" xfId="104"/>
    <cellStyle name="Bad 2" xfId="105"/>
    <cellStyle name="Neutral 2" xfId="106"/>
    <cellStyle name="Normal 10 2 2" xfId="107"/>
    <cellStyle name="Normal 8" xfId="108"/>
    <cellStyle name="Normal 9" xfId="109"/>
    <cellStyle name="Normal 2 7" xfId="110"/>
    <cellStyle name="Normal 2 3 5" xfId="111"/>
    <cellStyle name="Comma 2 6" xfId="112"/>
    <cellStyle name="Normal 4 5" xfId="113"/>
    <cellStyle name="Normal 2 2 5" xfId="114"/>
    <cellStyle name="Normal 2 4 4" xfId="115"/>
    <cellStyle name="Normal 2 3 2 4" xfId="116"/>
    <cellStyle name="Comma 2 3 4" xfId="117"/>
    <cellStyle name="Normal 4 2 4" xfId="118"/>
    <cellStyle name="Normal 2 2 2 4" xfId="119"/>
    <cellStyle name="Normal 2 5 3" xfId="120"/>
    <cellStyle name="Normal 2 3 3 3" xfId="121"/>
    <cellStyle name="Comma 2 4 3" xfId="122"/>
    <cellStyle name="Normal 4 3 3" xfId="123"/>
    <cellStyle name="Normal 2 2 3 3" xfId="124"/>
    <cellStyle name="Normal 2 4 2 3" xfId="125"/>
    <cellStyle name="Normal 2 3 2 2 3" xfId="126"/>
    <cellStyle name="Comma 2 3 2 3" xfId="127"/>
    <cellStyle name="Normal 4 2 2 3" xfId="128"/>
    <cellStyle name="Normal 2 2 2 2 3" xfId="129"/>
    <cellStyle name="Normal 6 3" xfId="130"/>
    <cellStyle name="Normal 2 6 2" xfId="131"/>
    <cellStyle name="Normal 2 3 4 2" xfId="132"/>
    <cellStyle name="Comma 2 5 2" xfId="133"/>
    <cellStyle name="Normal 4 4 2" xfId="134"/>
    <cellStyle name="Normal 2 2 4 2" xfId="135"/>
    <cellStyle name="Normal 2 4 3 2" xfId="136"/>
    <cellStyle name="Normal 2 3 2 3 2" xfId="137"/>
    <cellStyle name="Comma 2 3 3 2" xfId="138"/>
    <cellStyle name="Normal 4 2 3 2" xfId="139"/>
    <cellStyle name="Normal 2 2 2 3 2" xfId="140"/>
    <cellStyle name="Normal 2 5 2 2" xfId="141"/>
    <cellStyle name="Normal 2 3 3 2 2" xfId="142"/>
    <cellStyle name="Comma 2 4 2 2" xfId="143"/>
    <cellStyle name="Normal 4 3 2 2" xfId="144"/>
    <cellStyle name="Normal 2 2 3 2 2" xfId="145"/>
    <cellStyle name="Normal 2 4 2 2 2" xfId="146"/>
    <cellStyle name="Normal 2 3 2 2 2 2" xfId="147"/>
    <cellStyle name="Comma 2 3 2 2 2" xfId="148"/>
    <cellStyle name="Normal 4 2 2 2 2" xfId="149"/>
    <cellStyle name="Normal 2 2 2 2 2 2" xfId="150"/>
    <cellStyle name="Normal 6 2 2" xfId="151"/>
    <cellStyle name="Normal 7 2" xfId="152"/>
    <cellStyle name="Normal 2 8" xfId="153"/>
    <cellStyle name="Normal 2 3 6" xfId="154"/>
    <cellStyle name="Comma 2 7" xfId="155"/>
    <cellStyle name="Normal 4 6" xfId="156"/>
    <cellStyle name="Normal 2 2 6" xfId="157"/>
    <cellStyle name="Normal 2 4 5" xfId="158"/>
    <cellStyle name="Normal 2 3 2 5" xfId="159"/>
    <cellStyle name="Comma 2 3 5" xfId="160"/>
    <cellStyle name="Normal 4 2 5" xfId="161"/>
    <cellStyle name="Normal 2 2 2 5" xfId="162"/>
    <cellStyle name="Normal 2 5 4" xfId="163"/>
    <cellStyle name="Normal 2 3 3 4" xfId="164"/>
    <cellStyle name="Comma 2 4 4" xfId="165"/>
    <cellStyle name="Normal 4 3 4" xfId="166"/>
    <cellStyle name="Normal 2 2 3 4" xfId="167"/>
    <cellStyle name="Normal 2 4 2 4" xfId="168"/>
    <cellStyle name="Normal 2 3 2 2 4" xfId="169"/>
    <cellStyle name="Comma 2 3 2 4" xfId="170"/>
    <cellStyle name="Normal 4 2 2 4" xfId="171"/>
    <cellStyle name="Normal 2 2 2 2 4" xfId="172"/>
    <cellStyle name="Normal 6 4" xfId="173"/>
    <cellStyle name="Normal 2 6 3" xfId="174"/>
    <cellStyle name="Normal 2 3 4 3" xfId="175"/>
    <cellStyle name="Comma 2 5 3" xfId="176"/>
    <cellStyle name="Normal 4 4 3" xfId="177"/>
    <cellStyle name="Normal 2 2 4 3" xfId="178"/>
    <cellStyle name="Normal 2 4 3 3" xfId="179"/>
    <cellStyle name="Normal 2 3 2 3 3" xfId="180"/>
    <cellStyle name="Comma 2 3 3 3" xfId="181"/>
    <cellStyle name="Normal 4 2 3 3" xfId="182"/>
    <cellStyle name="Normal 2 2 2 3 3" xfId="183"/>
    <cellStyle name="Normal 2 5 2 3" xfId="184"/>
    <cellStyle name="Normal 2 3 3 2 3" xfId="185"/>
    <cellStyle name="Comma 2 4 2 3" xfId="186"/>
    <cellStyle name="Normal 4 3 2 3" xfId="187"/>
    <cellStyle name="Normal 2 2 3 2 3" xfId="188"/>
    <cellStyle name="Normal 2 4 2 2 3" xfId="189"/>
    <cellStyle name="Normal 2 3 2 2 2 3" xfId="190"/>
    <cellStyle name="Comma 2 3 2 2 3" xfId="191"/>
    <cellStyle name="Normal 4 2 2 2 3" xfId="192"/>
    <cellStyle name="Normal 2 2 2 2 2 3" xfId="193"/>
    <cellStyle name="Normal 6 2 3" xfId="194"/>
    <cellStyle name="Normal 7 3" xfId="195"/>
    <cellStyle name="Normal 8 2" xfId="196"/>
    <cellStyle name="Normal 9 2" xfId="197"/>
    <cellStyle name="Normal 2 7 2" xfId="198"/>
    <cellStyle name="Normal 2 3 5 2" xfId="199"/>
    <cellStyle name="Comma 2 6 2" xfId="200"/>
    <cellStyle name="Normal 4 5 2" xfId="201"/>
    <cellStyle name="Normal 2 2 5 2" xfId="202"/>
    <cellStyle name="Normal 2 4 4 2" xfId="203"/>
    <cellStyle name="Normal 2 3 2 4 2" xfId="204"/>
    <cellStyle name="Comma 2 3 4 2" xfId="205"/>
    <cellStyle name="Normal 4 2 4 2" xfId="206"/>
    <cellStyle name="Normal 2 2 2 4 2" xfId="207"/>
    <cellStyle name="Normal 2 5 3 2" xfId="208"/>
    <cellStyle name="Normal 2 3 3 3 2" xfId="209"/>
    <cellStyle name="Comma 2 4 3 2" xfId="210"/>
    <cellStyle name="Normal 4 3 3 2" xfId="211"/>
    <cellStyle name="Normal 2 2 3 3 2" xfId="212"/>
    <cellStyle name="Normal 2 4 2 3 2" xfId="213"/>
    <cellStyle name="Normal 2 3 2 2 3 2" xfId="214"/>
    <cellStyle name="Comma 2 3 2 3 2" xfId="215"/>
    <cellStyle name="Normal 4 2 2 3 2" xfId="216"/>
    <cellStyle name="Normal 2 2 2 2 3 2" xfId="217"/>
    <cellStyle name="Normal 6 3 2" xfId="218"/>
    <cellStyle name="Normal 2 6 2 2" xfId="219"/>
    <cellStyle name="Normal 2 3 4 2 2" xfId="220"/>
    <cellStyle name="Comma 2 5 2 2" xfId="221"/>
    <cellStyle name="Normal 4 4 2 2" xfId="222"/>
    <cellStyle name="Normal 2 2 4 2 2" xfId="223"/>
    <cellStyle name="Normal 2 4 3 2 2" xfId="224"/>
    <cellStyle name="Normal 2 3 2 3 2 2" xfId="225"/>
    <cellStyle name="Comma 2 3 3 2 2" xfId="226"/>
    <cellStyle name="Normal 4 2 3 2 2" xfId="227"/>
    <cellStyle name="Normal 2 2 2 3 2 2" xfId="228"/>
    <cellStyle name="Normal 2 5 2 2 2" xfId="229"/>
    <cellStyle name="Normal 2 3 3 2 2 2" xfId="230"/>
    <cellStyle name="Comma 2 4 2 2 2" xfId="231"/>
    <cellStyle name="Normal 4 3 2 2 2" xfId="232"/>
    <cellStyle name="Normal 2 2 3 2 2 2" xfId="233"/>
    <cellStyle name="Normal 2 4 2 2 2 2" xfId="234"/>
    <cellStyle name="Normal 2 3 2 2 2 2 2" xfId="235"/>
    <cellStyle name="Comma 2 3 2 2 2 2" xfId="236"/>
    <cellStyle name="Normal 4 2 2 2 2 2" xfId="237"/>
    <cellStyle name="Normal 2 2 2 2 2 2 2" xfId="238"/>
    <cellStyle name="Normal 6 2 2 2" xfId="239"/>
    <cellStyle name="Normal 7 2 2" xfId="240"/>
    <cellStyle name="Normal 2 9" xfId="241"/>
    <cellStyle name="Normal 2 3 7" xfId="242"/>
    <cellStyle name="Comma 2 8" xfId="243"/>
    <cellStyle name="Normal 4 7" xfId="244"/>
    <cellStyle name="Normal 2 2 7" xfId="245"/>
    <cellStyle name="Normal 2 4 6" xfId="246"/>
    <cellStyle name="Normal 2 3 2 6" xfId="247"/>
    <cellStyle name="Comma 2 3 6" xfId="248"/>
    <cellStyle name="Normal 4 2 6" xfId="249"/>
    <cellStyle name="Normal 2 2 2 6" xfId="250"/>
    <cellStyle name="Normal 2 5 5" xfId="251"/>
    <cellStyle name="Normal 2 3 3 5" xfId="252"/>
    <cellStyle name="Comma 2 4 5" xfId="253"/>
    <cellStyle name="Normal 4 3 5" xfId="254"/>
    <cellStyle name="Normal 2 2 3 5" xfId="255"/>
    <cellStyle name="Normal 2 4 2 5" xfId="256"/>
    <cellStyle name="Normal 2 3 2 2 5" xfId="257"/>
    <cellStyle name="Comma 2 3 2 5" xfId="258"/>
    <cellStyle name="Normal 4 2 2 5" xfId="259"/>
    <cellStyle name="Normal 2 2 2 2 5" xfId="260"/>
    <cellStyle name="Normal 6 5" xfId="261"/>
    <cellStyle name="Normal 2 6 4" xfId="262"/>
    <cellStyle name="Normal 2 3 4 4" xfId="263"/>
    <cellStyle name="Comma 2 5 4" xfId="264"/>
    <cellStyle name="Normal 4 4 4" xfId="265"/>
    <cellStyle name="Normal 2 2 4 4" xfId="266"/>
    <cellStyle name="Normal 2 4 3 4" xfId="267"/>
    <cellStyle name="Normal 2 3 2 3 4" xfId="268"/>
    <cellStyle name="Comma 2 3 3 4" xfId="269"/>
    <cellStyle name="Normal 4 2 3 4" xfId="270"/>
    <cellStyle name="Normal 2 2 2 3 4" xfId="271"/>
    <cellStyle name="Normal 2 5 2 4" xfId="272"/>
    <cellStyle name="Normal 2 3 3 2 4" xfId="273"/>
    <cellStyle name="Comma 2 4 2 4" xfId="274"/>
    <cellStyle name="Normal 4 3 2 4" xfId="275"/>
    <cellStyle name="Normal 2 2 3 2 4" xfId="276"/>
    <cellStyle name="Normal 2 4 2 2 4" xfId="277"/>
    <cellStyle name="Normal 2 3 2 2 2 4" xfId="278"/>
    <cellStyle name="Comma 2 3 2 2 4" xfId="279"/>
    <cellStyle name="Normal 4 2 2 2 4" xfId="280"/>
    <cellStyle name="Normal 2 2 2 2 2 4" xfId="281"/>
    <cellStyle name="Normal 6 2 4" xfId="282"/>
    <cellStyle name="Normal 7 4" xfId="283"/>
    <cellStyle name="Normal 8 3" xfId="284"/>
    <cellStyle name="Normal 9 3" xfId="285"/>
    <cellStyle name="Normal 2 7 3" xfId="286"/>
    <cellStyle name="Normal 2 3 5 3" xfId="287"/>
    <cellStyle name="Comma 2 6 3" xfId="288"/>
    <cellStyle name="Normal 4 5 3" xfId="289"/>
    <cellStyle name="Normal 2 2 5 3" xfId="290"/>
    <cellStyle name="Normal 2 4 4 3" xfId="291"/>
    <cellStyle name="Normal 2 3 2 4 3" xfId="292"/>
    <cellStyle name="Comma 2 3 4 3" xfId="293"/>
    <cellStyle name="Normal 4 2 4 3" xfId="294"/>
    <cellStyle name="Normal 2 2 2 4 3" xfId="295"/>
    <cellStyle name="Normal 2 5 3 3" xfId="296"/>
    <cellStyle name="Normal 2 3 3 3 3" xfId="297"/>
    <cellStyle name="Comma 2 4 3 3" xfId="298"/>
    <cellStyle name="Normal 4 3 3 3" xfId="299"/>
    <cellStyle name="Normal 2 2 3 3 3" xfId="300"/>
    <cellStyle name="Normal 2 4 2 3 3" xfId="301"/>
    <cellStyle name="Normal 2 3 2 2 3 3" xfId="302"/>
    <cellStyle name="Comma 2 3 2 3 3" xfId="303"/>
    <cellStyle name="Normal 4 2 2 3 3" xfId="304"/>
    <cellStyle name="Normal 2 2 2 2 3 3" xfId="305"/>
    <cellStyle name="Normal 6 3 3" xfId="306"/>
    <cellStyle name="Normal 2 6 2 3" xfId="307"/>
    <cellStyle name="Normal 2 3 4 2 3" xfId="308"/>
    <cellStyle name="Comma 2 5 2 3" xfId="309"/>
    <cellStyle name="Normal 4 4 2 3" xfId="310"/>
    <cellStyle name="Normal 2 2 4 2 3" xfId="311"/>
    <cellStyle name="Normal 2 4 3 2 3" xfId="312"/>
    <cellStyle name="Normal 2 3 2 3 2 3" xfId="313"/>
    <cellStyle name="Comma 2 3 3 2 3" xfId="314"/>
    <cellStyle name="Normal 4 2 3 2 3" xfId="315"/>
    <cellStyle name="Normal 2 2 2 3 2 3" xfId="316"/>
    <cellStyle name="Normal 2 5 2 2 3" xfId="317"/>
    <cellStyle name="Normal 2 3 3 2 2 3" xfId="318"/>
    <cellStyle name="Comma 2 4 2 2 3" xfId="319"/>
    <cellStyle name="Normal 4 3 2 2 3" xfId="320"/>
    <cellStyle name="Normal 2 2 3 2 2 3" xfId="321"/>
    <cellStyle name="Normal 2 4 2 2 2 3" xfId="322"/>
    <cellStyle name="Normal 2 3 2 2 2 2 3" xfId="323"/>
    <cellStyle name="Comma 2 3 2 2 2 3" xfId="324"/>
    <cellStyle name="Normal 4 2 2 2 2 3" xfId="325"/>
    <cellStyle name="Normal 2 2 2 2 2 2 3" xfId="326"/>
    <cellStyle name="Normal 6 2 2 3" xfId="327"/>
    <cellStyle name="Normal 7 2 3" xfId="328"/>
    <cellStyle name="Normal 2 8 2" xfId="329"/>
    <cellStyle name="Normal 2 3 6 2" xfId="330"/>
    <cellStyle name="Comma 2 7 2" xfId="331"/>
    <cellStyle name="Normal 4 6 2" xfId="332"/>
    <cellStyle name="Normal 2 2 6 2" xfId="333"/>
    <cellStyle name="Normal 2 4 5 2" xfId="334"/>
    <cellStyle name="Normal 2 3 2 5 2" xfId="335"/>
    <cellStyle name="Comma 2 3 5 2" xfId="336"/>
    <cellStyle name="Normal 4 2 5 2" xfId="337"/>
    <cellStyle name="Normal 2 2 2 5 2" xfId="338"/>
    <cellStyle name="Normal 2 5 4 2" xfId="339"/>
    <cellStyle name="Normal 2 3 3 4 2" xfId="340"/>
    <cellStyle name="Comma 2 4 4 2" xfId="341"/>
    <cellStyle name="Normal 4 3 4 2" xfId="342"/>
    <cellStyle name="Normal 2 2 3 4 2" xfId="343"/>
    <cellStyle name="Normal 2 4 2 4 2" xfId="344"/>
    <cellStyle name="Normal 2 3 2 2 4 2" xfId="345"/>
    <cellStyle name="Comma 2 3 2 4 2" xfId="346"/>
    <cellStyle name="Normal 4 2 2 4 2" xfId="347"/>
    <cellStyle name="Normal 2 2 2 2 4 2" xfId="348"/>
    <cellStyle name="Normal 6 4 2" xfId="349"/>
    <cellStyle name="Normal 2 6 3 2" xfId="350"/>
    <cellStyle name="Normal 2 3 4 3 2" xfId="351"/>
    <cellStyle name="Comma 2 5 3 2" xfId="352"/>
    <cellStyle name="Normal 4 4 3 2" xfId="353"/>
    <cellStyle name="Normal 2 2 4 3 2" xfId="354"/>
    <cellStyle name="Normal 2 4 3 3 2" xfId="355"/>
    <cellStyle name="Normal 2 3 2 3 3 2" xfId="356"/>
    <cellStyle name="Comma 2 3 3 3 2" xfId="357"/>
    <cellStyle name="Normal 4 2 3 3 2" xfId="358"/>
    <cellStyle name="Normal 2 2 2 3 3 2" xfId="359"/>
    <cellStyle name="Normal 2 5 2 3 2" xfId="360"/>
    <cellStyle name="Normal 2 3 3 2 3 2" xfId="361"/>
    <cellStyle name="Comma 2 4 2 3 2" xfId="362"/>
    <cellStyle name="Normal 4 3 2 3 2" xfId="363"/>
    <cellStyle name="Normal 2 2 3 2 3 2" xfId="364"/>
    <cellStyle name="Normal 2 4 2 2 3 2" xfId="365"/>
    <cellStyle name="Normal 2 3 2 2 2 3 2" xfId="366"/>
    <cellStyle name="Comma 2 3 2 2 3 2" xfId="367"/>
    <cellStyle name="Normal 4 2 2 2 3 2" xfId="368"/>
    <cellStyle name="Normal 2 2 2 2 2 3 2" xfId="369"/>
    <cellStyle name="Normal 6 2 3 2" xfId="370"/>
    <cellStyle name="Normal 7 3 2" xfId="371"/>
    <cellStyle name="Normal 8 2 2" xfId="372"/>
    <cellStyle name="Normal 9 2 2" xfId="373"/>
    <cellStyle name="Normal 2 7 2 2" xfId="374"/>
    <cellStyle name="Normal 2 3 5 2 2" xfId="375"/>
    <cellStyle name="Comma 2 6 2 2" xfId="376"/>
    <cellStyle name="Normal 4 5 2 2" xfId="377"/>
    <cellStyle name="Normal 2 2 5 2 2" xfId="378"/>
    <cellStyle name="Normal 2 4 4 2 2" xfId="379"/>
    <cellStyle name="Normal 2 3 2 4 2 2" xfId="380"/>
    <cellStyle name="Comma 2 3 4 2 2" xfId="381"/>
    <cellStyle name="Normal 4 2 4 2 2" xfId="382"/>
    <cellStyle name="Normal 2 2 2 4 2 2" xfId="383"/>
    <cellStyle name="Normal 2 5 3 2 2" xfId="384"/>
    <cellStyle name="Normal 2 3 3 3 2 2" xfId="385"/>
    <cellStyle name="Comma 2 4 3 2 2" xfId="386"/>
    <cellStyle name="Normal 4 3 3 2 2" xfId="387"/>
    <cellStyle name="Normal 2 2 3 3 2 2" xfId="388"/>
    <cellStyle name="Normal 2 4 2 3 2 2" xfId="389"/>
    <cellStyle name="Normal 2 3 2 2 3 2 2" xfId="390"/>
    <cellStyle name="Comma 2 3 2 3 2 2" xfId="391"/>
    <cellStyle name="Normal 4 2 2 3 2 2" xfId="392"/>
    <cellStyle name="Normal 2 2 2 2 3 2 2" xfId="393"/>
    <cellStyle name="Normal 6 3 2 2" xfId="394"/>
    <cellStyle name="Normal 2 6 2 2 2" xfId="395"/>
    <cellStyle name="Normal 2 3 4 2 2 2" xfId="396"/>
    <cellStyle name="Comma 2 5 2 2 2" xfId="397"/>
    <cellStyle name="Normal 4 4 2 2 2" xfId="398"/>
    <cellStyle name="Normal 2 2 4 2 2 2" xfId="399"/>
    <cellStyle name="Normal 2 4 3 2 2 2" xfId="400"/>
    <cellStyle name="Normal 2 3 2 3 2 2 2" xfId="401"/>
    <cellStyle name="Comma 2 3 3 2 2 2" xfId="402"/>
    <cellStyle name="Normal 4 2 3 2 2 2" xfId="403"/>
    <cellStyle name="Normal 2 2 2 3 2 2 2" xfId="404"/>
    <cellStyle name="Normal 2 5 2 2 2 2" xfId="405"/>
    <cellStyle name="Normal 2 3 3 2 2 2 2" xfId="406"/>
    <cellStyle name="Comma 2 4 2 2 2 2" xfId="407"/>
    <cellStyle name="Normal 4 3 2 2 2 2" xfId="408"/>
    <cellStyle name="Normal 2 2 3 2 2 2 2" xfId="409"/>
    <cellStyle name="Normal 2 4 2 2 2 2 2" xfId="410"/>
    <cellStyle name="Normal 2 3 2 2 2 2 2 2" xfId="411"/>
    <cellStyle name="Comma 2 3 2 2 2 2 2" xfId="412"/>
    <cellStyle name="Normal 4 2 2 2 2 2 2" xfId="413"/>
    <cellStyle name="Normal 2 2 2 2 2 2 2 2" xfId="414"/>
    <cellStyle name="Normal 6 2 2 2 2" xfId="415"/>
    <cellStyle name="Normal 7 2 2 2" xfId="416"/>
    <cellStyle name="Normal 2 10" xfId="417"/>
    <cellStyle name="Normal 2 3 8" xfId="418"/>
    <cellStyle name="Comma 2 9" xfId="419"/>
    <cellStyle name="Normal 4 8" xfId="420"/>
    <cellStyle name="Normal 2 2 8" xfId="421"/>
    <cellStyle name="Normal 2 4 7" xfId="422"/>
    <cellStyle name="Normal 2 3 2 7" xfId="423"/>
    <cellStyle name="Comma 2 3 7" xfId="424"/>
    <cellStyle name="Normal 4 2 7" xfId="425"/>
    <cellStyle name="Normal 2 2 2 7" xfId="426"/>
    <cellStyle name="Normal 2 5 6" xfId="427"/>
    <cellStyle name="Normal 2 3 3 6" xfId="428"/>
    <cellStyle name="Comma 2 4 6" xfId="429"/>
    <cellStyle name="Normal 4 3 6" xfId="430"/>
    <cellStyle name="Normal 2 2 3 6" xfId="431"/>
    <cellStyle name="Normal 2 4 2 6" xfId="432"/>
    <cellStyle name="Normal 2 3 2 2 6" xfId="433"/>
    <cellStyle name="Comma 2 3 2 6" xfId="434"/>
    <cellStyle name="Normal 4 2 2 6" xfId="435"/>
    <cellStyle name="Normal 2 2 2 2 6" xfId="436"/>
    <cellStyle name="Normal 6 6" xfId="437"/>
    <cellStyle name="Normal 2 6 5" xfId="438"/>
    <cellStyle name="Normal 2 3 4 5" xfId="439"/>
    <cellStyle name="Comma 2 5 5" xfId="440"/>
    <cellStyle name="Normal 4 4 5" xfId="441"/>
    <cellStyle name="Normal 2 2 4 5" xfId="442"/>
    <cellStyle name="Normal 2 4 3 5" xfId="443"/>
    <cellStyle name="Normal 2 3 2 3 5" xfId="444"/>
    <cellStyle name="Comma 2 3 3 5" xfId="445"/>
    <cellStyle name="Normal 4 2 3 5" xfId="446"/>
    <cellStyle name="Normal 2 2 2 3 5" xfId="447"/>
    <cellStyle name="Normal 2 5 2 5" xfId="448"/>
    <cellStyle name="Normal 2 3 3 2 5" xfId="449"/>
    <cellStyle name="Comma 2 4 2 5" xfId="450"/>
    <cellStyle name="Normal 4 3 2 5" xfId="451"/>
    <cellStyle name="Normal 2 2 3 2 5" xfId="452"/>
    <cellStyle name="Normal 2 4 2 2 5" xfId="453"/>
    <cellStyle name="Normal 2 3 2 2 2 5" xfId="454"/>
    <cellStyle name="Comma 2 3 2 2 5" xfId="455"/>
    <cellStyle name="Normal 4 2 2 2 5" xfId="456"/>
    <cellStyle name="Normal 2 2 2 2 2 5" xfId="457"/>
    <cellStyle name="Normal 6 2 5" xfId="458"/>
    <cellStyle name="Normal 7 5" xfId="459"/>
    <cellStyle name="Normal 8 4" xfId="460"/>
    <cellStyle name="Normal 9 4" xfId="461"/>
    <cellStyle name="Normal 2 7 4" xfId="462"/>
    <cellStyle name="Normal 2 3 5 4" xfId="463"/>
    <cellStyle name="Comma 2 6 4" xfId="464"/>
    <cellStyle name="Normal 4 5 4" xfId="465"/>
    <cellStyle name="Normal 2 2 5 4" xfId="466"/>
    <cellStyle name="Normal 2 4 4 4" xfId="467"/>
    <cellStyle name="Normal 2 3 2 4 4" xfId="468"/>
    <cellStyle name="Comma 2 3 4 4" xfId="469"/>
    <cellStyle name="Normal 4 2 4 4" xfId="470"/>
    <cellStyle name="Normal 2 2 2 4 4" xfId="471"/>
    <cellStyle name="Normal 2 5 3 4" xfId="472"/>
    <cellStyle name="Normal 2 3 3 3 4" xfId="473"/>
    <cellStyle name="Comma 2 4 3 4" xfId="474"/>
    <cellStyle name="Normal 4 3 3 4" xfId="475"/>
    <cellStyle name="Normal 2 2 3 3 4" xfId="476"/>
    <cellStyle name="Normal 2 4 2 3 4" xfId="477"/>
    <cellStyle name="Normal 2 3 2 2 3 4" xfId="478"/>
    <cellStyle name="Comma 2 3 2 3 4" xfId="479"/>
    <cellStyle name="Normal 4 2 2 3 4" xfId="480"/>
    <cellStyle name="Normal 2 2 2 2 3 4" xfId="481"/>
    <cellStyle name="Normal 6 3 4" xfId="482"/>
    <cellStyle name="Normal 2 6 2 4" xfId="483"/>
    <cellStyle name="Normal 2 3 4 2 4" xfId="484"/>
    <cellStyle name="Comma 2 5 2 4" xfId="485"/>
    <cellStyle name="Normal 4 4 2 4" xfId="486"/>
    <cellStyle name="Normal 2 2 4 2 4" xfId="487"/>
    <cellStyle name="Normal 2 4 3 2 4" xfId="488"/>
    <cellStyle name="Normal 2 3 2 3 2 4" xfId="489"/>
    <cellStyle name="Comma 2 3 3 2 4" xfId="490"/>
    <cellStyle name="Normal 4 2 3 2 4" xfId="491"/>
    <cellStyle name="Normal 2 2 2 3 2 4" xfId="492"/>
    <cellStyle name="Normal 2 5 2 2 4" xfId="493"/>
    <cellStyle name="Normal 2 3 3 2 2 4" xfId="494"/>
    <cellStyle name="Comma 2 4 2 2 4" xfId="495"/>
    <cellStyle name="Normal 4 3 2 2 4" xfId="496"/>
    <cellStyle name="Normal 2 2 3 2 2 4" xfId="497"/>
    <cellStyle name="Normal 2 4 2 2 2 4" xfId="498"/>
    <cellStyle name="Normal 2 3 2 2 2 2 4" xfId="499"/>
    <cellStyle name="Comma 2 3 2 2 2 4" xfId="500"/>
    <cellStyle name="Normal 4 2 2 2 2 4" xfId="501"/>
    <cellStyle name="Normal 2 2 2 2 2 2 4" xfId="502"/>
    <cellStyle name="Normal 6 2 2 4" xfId="503"/>
    <cellStyle name="Normal 7 2 4" xfId="504"/>
    <cellStyle name="Normal 2 8 3" xfId="505"/>
    <cellStyle name="Normal 2 3 6 3" xfId="506"/>
    <cellStyle name="Comma 2 7 3" xfId="507"/>
    <cellStyle name="Normal 4 6 3" xfId="508"/>
    <cellStyle name="Normal 2 2 6 3" xfId="509"/>
    <cellStyle name="Normal 2 4 5 3" xfId="510"/>
    <cellStyle name="Normal 2 3 2 5 3" xfId="511"/>
    <cellStyle name="Comma 2 3 5 3" xfId="512"/>
    <cellStyle name="Normal 4 2 5 3" xfId="513"/>
    <cellStyle name="Normal 2 2 2 5 3" xfId="514"/>
    <cellStyle name="Normal 2 5 4 3" xfId="515"/>
    <cellStyle name="Normal 2 3 3 4 3" xfId="516"/>
    <cellStyle name="Comma 2 4 4 3" xfId="517"/>
    <cellStyle name="Normal 4 3 4 3" xfId="518"/>
    <cellStyle name="Normal 2 2 3 4 3" xfId="519"/>
    <cellStyle name="Normal 2 4 2 4 3" xfId="520"/>
    <cellStyle name="Normal 2 3 2 2 4 3" xfId="521"/>
    <cellStyle name="Comma 2 3 2 4 3" xfId="522"/>
    <cellStyle name="Normal 4 2 2 4 3" xfId="523"/>
    <cellStyle name="Normal 2 2 2 2 4 3" xfId="524"/>
    <cellStyle name="Normal 6 4 3" xfId="525"/>
    <cellStyle name="Normal 2 6 3 3" xfId="526"/>
    <cellStyle name="Normal 2 3 4 3 3" xfId="527"/>
    <cellStyle name="Comma 2 5 3 3" xfId="528"/>
    <cellStyle name="Normal 4 4 3 3" xfId="529"/>
    <cellStyle name="Normal 2 2 4 3 3" xfId="530"/>
    <cellStyle name="Normal 2 4 3 3 3" xfId="531"/>
    <cellStyle name="Normal 2 3 2 3 3 3" xfId="532"/>
    <cellStyle name="Comma 2 3 3 3 3" xfId="533"/>
    <cellStyle name="Normal 4 2 3 3 3" xfId="534"/>
    <cellStyle name="Normal 2 2 2 3 3 3" xfId="535"/>
    <cellStyle name="Normal 2 5 2 3 3" xfId="536"/>
    <cellStyle name="Normal 2 3 3 2 3 3" xfId="537"/>
    <cellStyle name="Comma 2 4 2 3 3" xfId="538"/>
    <cellStyle name="Normal 4 3 2 3 3" xfId="539"/>
    <cellStyle name="Normal 2 2 3 2 3 3" xfId="540"/>
    <cellStyle name="Normal 2 4 2 2 3 3" xfId="541"/>
    <cellStyle name="Normal 2 3 2 2 2 3 3" xfId="542"/>
    <cellStyle name="Comma 2 3 2 2 3 3" xfId="543"/>
    <cellStyle name="Normal 4 2 2 2 3 3" xfId="544"/>
    <cellStyle name="Normal 2 2 2 2 2 3 3" xfId="545"/>
    <cellStyle name="Normal 6 2 3 3" xfId="546"/>
    <cellStyle name="Normal 7 3 3" xfId="547"/>
    <cellStyle name="Normal 8 2 3" xfId="548"/>
    <cellStyle name="Normal 9 2 3" xfId="549"/>
    <cellStyle name="Normal 2 7 2 3" xfId="550"/>
    <cellStyle name="Normal 2 3 5 2 3" xfId="551"/>
    <cellStyle name="Comma 2 6 2 3" xfId="552"/>
    <cellStyle name="Normal 4 5 2 3" xfId="553"/>
    <cellStyle name="Normal 2 2 5 2 3" xfId="554"/>
    <cellStyle name="Normal 2 4 4 2 3" xfId="555"/>
    <cellStyle name="Normal 2 3 2 4 2 3" xfId="556"/>
    <cellStyle name="Comma 2 3 4 2 3" xfId="557"/>
    <cellStyle name="Normal 4 2 4 2 3" xfId="558"/>
    <cellStyle name="Normal 2 2 2 4 2 3" xfId="559"/>
    <cellStyle name="Normal 2 5 3 2 3" xfId="560"/>
    <cellStyle name="Normal 2 3 3 3 2 3" xfId="561"/>
    <cellStyle name="Comma 2 4 3 2 3" xfId="562"/>
    <cellStyle name="Normal 4 3 3 2 3" xfId="563"/>
    <cellStyle name="Normal 2 2 3 3 2 3" xfId="564"/>
    <cellStyle name="Normal 2 4 2 3 2 3" xfId="565"/>
    <cellStyle name="Normal 2 3 2 2 3 2 3" xfId="566"/>
    <cellStyle name="Comma 2 3 2 3 2 3" xfId="567"/>
    <cellStyle name="Normal 4 2 2 3 2 3" xfId="568"/>
    <cellStyle name="Normal 2 2 2 2 3 2 3" xfId="569"/>
    <cellStyle name="Normal 6 3 2 3" xfId="570"/>
    <cellStyle name="Normal 2 6 2 2 3" xfId="571"/>
    <cellStyle name="Normal 2 3 4 2 2 3" xfId="572"/>
    <cellStyle name="Comma 2 5 2 2 3" xfId="573"/>
    <cellStyle name="Normal 4 4 2 2 3" xfId="574"/>
    <cellStyle name="Normal 2 2 4 2 2 3" xfId="575"/>
    <cellStyle name="Normal 2 4 3 2 2 3" xfId="576"/>
    <cellStyle name="Normal 2 3 2 3 2 2 3" xfId="577"/>
    <cellStyle name="Comma 2 3 3 2 2 3" xfId="578"/>
    <cellStyle name="Normal 4 2 3 2 2 3" xfId="579"/>
    <cellStyle name="Normal 2 2 2 3 2 2 3" xfId="580"/>
    <cellStyle name="Normal 2 5 2 2 2 3" xfId="581"/>
    <cellStyle name="Normal 2 3 3 2 2 2 3" xfId="582"/>
    <cellStyle name="Comma 2 4 2 2 2 3" xfId="583"/>
    <cellStyle name="Normal 4 3 2 2 2 3" xfId="584"/>
    <cellStyle name="Normal 2 2 3 2 2 2 3" xfId="585"/>
    <cellStyle name="Normal 2 4 2 2 2 2 3" xfId="586"/>
    <cellStyle name="Normal 2 3 2 2 2 2 2 3" xfId="587"/>
    <cellStyle name="Comma 2 3 2 2 2 2 3" xfId="588"/>
    <cellStyle name="Normal 4 2 2 2 2 2 3" xfId="589"/>
    <cellStyle name="Normal 2 2 2 2 2 2 2 3" xfId="590"/>
    <cellStyle name="Normal 6 2 2 2 3" xfId="591"/>
    <cellStyle name="Normal 7 2 2 3" xfId="592"/>
  </cellStyles>
  <dxfs count="24">
    <dxf>
      <font>
        <strike val="0"/>
        <color theme="0"/>
      </font>
      <fill>
        <patternFill>
          <bgColor rgb="FF008000"/>
        </patternFill>
      </fill>
    </dxf>
    <dxf>
      <font>
        <strike val="0"/>
        <color theme="0"/>
      </font>
      <fill>
        <patternFill>
          <bgColor rgb="FFC00000"/>
        </patternFill>
      </fill>
    </dxf>
    <dxf>
      <fill>
        <patternFill>
          <bgColor rgb="FFFFFF00"/>
        </patternFill>
      </fill>
    </dxf>
    <dxf>
      <font>
        <color theme="9"/>
      </font>
      <fill>
        <patternFill>
          <bgColor theme="9" tint="0.7999816888943144"/>
        </patternFill>
      </fill>
    </dxf>
    <dxf>
      <font>
        <color rgb="FFC00000"/>
      </font>
    </dxf>
    <dxf>
      <font>
        <strike val="0"/>
        <color rgb="FF0070C0"/>
      </font>
    </dxf>
    <dxf>
      <font>
        <strike val="0"/>
        <color theme="0"/>
      </font>
      <fill>
        <patternFill>
          <bgColor rgb="FF008000"/>
        </patternFill>
      </fill>
    </dxf>
    <dxf>
      <font>
        <strike val="0"/>
        <color theme="0"/>
      </font>
      <fill>
        <patternFill>
          <bgColor rgb="FFC00000"/>
        </patternFill>
      </fill>
    </dxf>
    <dxf>
      <fill>
        <patternFill>
          <bgColor rgb="FFFFFF00"/>
        </patternFill>
      </fill>
    </dxf>
    <dxf>
      <font>
        <color theme="9"/>
      </font>
      <fill>
        <patternFill>
          <bgColor theme="9" tint="0.7999816888943144"/>
        </patternFill>
      </fill>
    </dxf>
    <dxf>
      <font>
        <color rgb="FFC00000"/>
      </font>
    </dxf>
    <dxf>
      <font>
        <strike val="0"/>
        <color rgb="FF0070C0"/>
      </font>
    </dxf>
    <dxf>
      <font>
        <strike val="0"/>
        <color theme="0"/>
      </font>
      <fill>
        <patternFill>
          <bgColor rgb="FF008000"/>
        </patternFill>
      </fill>
    </dxf>
    <dxf>
      <font>
        <strike val="0"/>
        <color theme="0"/>
      </font>
      <fill>
        <patternFill>
          <bgColor rgb="FFC00000"/>
        </patternFill>
      </fill>
    </dxf>
    <dxf>
      <fill>
        <patternFill>
          <bgColor rgb="FFFFFF00"/>
        </patternFill>
      </fill>
    </dxf>
    <dxf>
      <font>
        <color theme="9"/>
      </font>
      <fill>
        <patternFill>
          <bgColor theme="9" tint="0.7999816888943144"/>
        </patternFill>
      </fill>
    </dxf>
    <dxf>
      <font>
        <color rgb="FFC00000"/>
      </font>
    </dxf>
    <dxf>
      <font>
        <strike val="0"/>
        <color rgb="FF0070C0"/>
      </font>
    </dxf>
    <dxf>
      <font>
        <strike val="0"/>
        <color theme="0"/>
      </font>
      <fill>
        <patternFill>
          <bgColor rgb="FF008000"/>
        </patternFill>
      </fill>
    </dxf>
    <dxf>
      <font>
        <strike val="0"/>
        <color theme="0"/>
      </font>
      <fill>
        <patternFill>
          <bgColor rgb="FFC00000"/>
        </patternFill>
      </fill>
    </dxf>
    <dxf>
      <fill>
        <patternFill>
          <bgColor rgb="FFFFFF00"/>
        </patternFill>
      </fill>
    </dxf>
    <dxf>
      <font>
        <color theme="9"/>
      </font>
      <fill>
        <patternFill>
          <bgColor theme="9" tint="0.7999816888943144"/>
        </patternFill>
      </fill>
    </dxf>
    <dxf>
      <font>
        <color rgb="FFC00000"/>
      </font>
    </dxf>
    <dxf>
      <font>
        <strike val="0"/>
        <color rgb="FF0070C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DF103F"/>
      <rgbColor rgb="0099CC00"/>
      <rgbColor rgb="00CC99FF"/>
      <rgbColor rgb="005F5F5F"/>
      <rgbColor rgb="00EAEAEA"/>
      <rgbColor rgb="00B2B2B2"/>
      <rgbColor rgb="00EAEAEA"/>
      <rgbColor rgb="00292929"/>
      <rgbColor rgb="00000000"/>
      <rgbColor rgb="00FFFFFF"/>
      <rgbColor rgb="00FFFFFF"/>
      <rgbColor rgb="00000000"/>
      <rgbColor rgb="00007A00"/>
      <rgbColor rgb="00969696"/>
      <rgbColor rgb="00C0C0C0"/>
      <rgbColor rgb="00969696"/>
      <rgbColor rgb="000066CC"/>
      <rgbColor rgb="00DF103F"/>
      <rgbColor rgb="00FFCC00"/>
      <rgbColor rgb="00003366"/>
      <rgbColor rgb="00339933"/>
      <rgbColor rgb="00720821"/>
      <rgbColor rgb="00969696"/>
      <rgbColor rgb="0099CC00"/>
      <rgbColor rgb="000066CC"/>
      <rgbColor rgb="00DF103F"/>
      <rgbColor rgb="00FFCC00"/>
      <rgbColor rgb="00003366"/>
      <rgbColor rgb="00339933"/>
      <rgbColor rgb="00720821"/>
      <rgbColor rgb="00969696"/>
      <rgbColor rgb="0099CC00"/>
      <rgbColor rgb="00777777"/>
      <rgbColor rgb="00339933"/>
      <rgbColor rgb="00003366"/>
      <rgbColor rgb="00FFCC00"/>
      <rgbColor rgb="00720821"/>
      <rgbColor rgb="000066CC"/>
      <rgbColor rgb="00969696"/>
      <rgbColor rgb="00DF103F"/>
      <rgbColor rgb="00FF9933"/>
      <rgbColor rgb="00CC0099"/>
      <rgbColor rgb="00B59F93"/>
      <rgbColor rgb="00DDDDDD"/>
      <rgbColor rgb="00CCFFFF"/>
      <rgbColor rgb="00FFFFFF"/>
      <rgbColor rgb="00EAEAEA"/>
      <rgbColor rgb="00FCD5AA"/>
      <rgbColor rgb="00FFFFFF"/>
      <rgbColor rgb="0000FFFF"/>
      <rgbColor rgb="00339933"/>
      <rgbColor rgb="000066CC"/>
      <rgbColor rgb="00E0E0E0"/>
      <rgbColor rgb="009F9F9F"/>
      <rgbColor rgb="00FFFFFF"/>
      <rgbColor rgb="00FFFFF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Author</author>
  </authors>
  <commentList>
    <comment ref="D4" authorId="0" shapeId="0">
      <text>
        <t>Input / modify categories in the Overview worksheet (column B, blue font) within respective section</t>
      </text>
    </comment>
  </commentList>
</comments>
</file>

<file path=xl/comments/comment2.xml><?xml version="1.0" encoding="utf-8"?>
<comments xmlns="http://schemas.openxmlformats.org/spreadsheetml/2006/main">
  <authors>
    <author>Author</author>
  </authors>
  <commentList>
    <comment ref="D4" authorId="0" shapeId="0">
      <text>
        <t>Input / modify categories in the Overview worksheet (column B, blue font) within respective section</t>
      </text>
    </comment>
  </commentList>
</comments>
</file>

<file path=xl/comments/comment3.xml><?xml version="1.0" encoding="utf-8"?>
<comments xmlns="http://schemas.openxmlformats.org/spreadsheetml/2006/main">
  <authors>
    <author>Author</author>
  </authors>
  <commentList>
    <comment ref="D4" authorId="0" shapeId="0">
      <text>
        <t>Input / modify categories in the Overview worksheet (column B, blue font) within respective section</t>
      </text>
    </comment>
  </commentList>
</comments>
</file>

<file path=xl/comments/comment4.xml><?xml version="1.0" encoding="utf-8"?>
<comments xmlns="http://schemas.openxmlformats.org/spreadsheetml/2006/main">
  <authors>
    <author>Author</author>
  </authors>
  <commentList>
    <comment ref="D4" authorId="0" shapeId="0">
      <text>
        <t>Input / modify categories in the Overview worksheet (column B, blue font) within respective section</t>
      </text>
    </comment>
  </commentList>
</comments>
</file>

<file path=xl/theme/theme1.xml><?xml version="1.0" encoding="utf-8"?>
<a:theme xmlns:a="http://schemas.openxmlformats.org/drawingml/2006/main" name="TDS Brand 2021">
  <a:themeElements>
    <a:clrScheme name="TDS Rebrand">
      <a:dk1>
        <a:sysClr val="windowText" lastClr="000000"/>
      </a:dk1>
      <a:lt1>
        <a:sysClr val="window" lastClr="FFFFFF"/>
      </a:lt1>
      <a:dk2>
        <a:srgbClr val="163D22"/>
      </a:dk2>
      <a:lt2>
        <a:srgbClr val="D2D2D2"/>
      </a:lt2>
      <a:accent1>
        <a:srgbClr val="008A00"/>
      </a:accent1>
      <a:accent2>
        <a:srgbClr val="E6F3E6"/>
      </a:accent2>
      <a:accent3>
        <a:srgbClr val="646464"/>
      </a:accent3>
      <a:accent4>
        <a:srgbClr val="E8B400"/>
      </a:accent4>
      <a:accent5>
        <a:srgbClr val="619ABC"/>
      </a:accent5>
      <a:accent6>
        <a:srgbClr val="962C2C"/>
      </a:accent6>
      <a:hlink>
        <a:srgbClr val="3F7596"/>
      </a:hlink>
      <a:folHlink>
        <a:srgbClr val="800080"/>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TDS Brand 2021" id="{3053B622-2E96-401C-910A-1ECDD419F645}" vid="{B469F380-DB80-4B43-B2FB-75177700BC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codeName="Sheet1">
    <tabColor theme="6"/>
    <outlinePr summaryBelow="1" summaryRight="1"/>
    <pageSetUpPr fitToPage="1"/>
  </sheetPr>
  <dimension ref="A2:V85"/>
  <sheetViews>
    <sheetView showGridLines="0" zoomScale="85" zoomScaleNormal="85" zoomScaleSheetLayoutView="100" workbookViewId="0">
      <pane ySplit="13" topLeftCell="A14" activePane="bottomLeft" state="frozen"/>
      <selection pane="bottomLeft" activeCell="B16" sqref="B16"/>
    </sheetView>
  </sheetViews>
  <sheetFormatPr baseColWidth="8" defaultColWidth="8.53515625" defaultRowHeight="12.45"/>
  <cols>
    <col width="1.53515625" customWidth="1" style="60" min="1" max="1"/>
    <col width="30.53515625" customWidth="1" style="1" min="2" max="2"/>
    <col width="9.53515625" customWidth="1" style="1" min="3" max="8"/>
    <col width="8.53515625" customWidth="1" style="1" min="9" max="9"/>
    <col width="9.53515625" customWidth="1" style="1" min="10" max="13"/>
    <col width="1.69140625" customWidth="1" style="1" min="14" max="14"/>
    <col width="8.53515625" customWidth="1" style="1" min="15" max="16384"/>
  </cols>
  <sheetData>
    <row r="1" ht="10.4" customHeight="1"/>
    <row r="2" ht="20.15" customFormat="1" customHeight="1" s="6">
      <c r="A2" s="61" t="n"/>
      <c r="B2" s="28" t="inlineStr">
        <is>
          <t xml:space="preserve"> Project Beacon</t>
        </is>
      </c>
      <c r="C2" s="29" t="n"/>
      <c r="D2" s="29" t="n"/>
      <c r="E2" s="29" t="n"/>
      <c r="F2" s="28" t="n"/>
      <c r="G2" s="30" t="n"/>
      <c r="H2" s="29" t="n"/>
      <c r="I2" s="29" t="n"/>
      <c r="J2" s="29" t="n"/>
      <c r="K2" s="29" t="n"/>
      <c r="L2" s="29" t="n"/>
      <c r="M2" s="29" t="n"/>
      <c r="N2" s="7" t="n"/>
      <c r="O2" s="7" t="n"/>
      <c r="P2" s="7" t="n"/>
      <c r="Q2" s="7" t="n"/>
      <c r="R2" s="7" t="n"/>
      <c r="S2" s="7" t="n"/>
    </row>
    <row r="3" ht="15" customHeight="1">
      <c r="B3" s="44" t="n"/>
      <c r="C3" s="43" t="n"/>
      <c r="D3" s="43" t="n"/>
      <c r="E3" s="43" t="n"/>
      <c r="F3" s="43" t="n"/>
      <c r="G3" s="43" t="n"/>
      <c r="H3" s="43" t="n"/>
      <c r="I3" s="43" t="n"/>
      <c r="J3" s="43" t="n"/>
      <c r="K3" s="43" t="n"/>
      <c r="L3" s="43" t="n"/>
      <c r="M3" s="18">
        <f>TEXT(NOW(),"mmmm d, yyyy")&amp;" at "&amp;TEXT(MROUND(NOW(),"00:30"),"h:mm AM/PM")</f>
        <v/>
      </c>
    </row>
    <row r="5" ht="15" customHeight="1" thickBot="1">
      <c r="B5" s="39" t="inlineStr">
        <is>
          <t>Request Overview by Buyer / Advisor</t>
        </is>
      </c>
      <c r="C5" s="42" t="n"/>
      <c r="D5" s="42" t="n"/>
      <c r="E5" s="42" t="n"/>
      <c r="F5" s="42" t="n"/>
      <c r="G5" s="42" t="n"/>
      <c r="H5" s="42" t="n"/>
      <c r="I5" s="42" t="n"/>
      <c r="J5" s="40" t="n"/>
      <c r="K5" s="42" t="n"/>
      <c r="L5" s="40" t="n"/>
      <c r="M5" s="42" t="n"/>
      <c r="N5" s="18" t="n"/>
    </row>
    <row r="6" ht="5.15" customHeight="1">
      <c r="B6" s="26" t="n"/>
      <c r="C6" s="27" t="n"/>
      <c r="D6" s="27" t="n"/>
      <c r="E6" s="27" t="n"/>
      <c r="F6" s="27" t="n"/>
      <c r="G6" s="27" t="n"/>
      <c r="H6" s="27" t="n"/>
      <c r="I6" s="27" t="n"/>
      <c r="K6" s="18" t="n"/>
      <c r="M6" s="27" t="n"/>
    </row>
    <row r="7" ht="15" customHeight="1">
      <c r="J7" s="12" t="inlineStr">
        <is>
          <t>Open + Partial Requests by Priority</t>
        </is>
      </c>
      <c r="K7" s="12" t="n"/>
      <c r="L7" s="12" t="n"/>
      <c r="M7" s="12" t="n"/>
    </row>
    <row r="8" ht="15" customHeight="1">
      <c r="B8" s="5" t="n"/>
      <c r="C8" s="13" t="inlineStr">
        <is>
          <t>Total</t>
        </is>
      </c>
      <c r="D8" s="14" t="inlineStr">
        <is>
          <t>Open</t>
        </is>
      </c>
      <c r="E8" s="14" t="inlineStr">
        <is>
          <t>Partial</t>
        </is>
      </c>
      <c r="F8" s="14" t="inlineStr">
        <is>
          <t>Closed</t>
        </is>
      </c>
      <c r="G8" s="14" t="inlineStr">
        <is>
          <t>N/A</t>
        </is>
      </c>
      <c r="H8" s="15" t="inlineStr">
        <is>
          <t>% Closed</t>
        </is>
      </c>
      <c r="I8" s="5" t="n"/>
      <c r="J8" s="17" t="inlineStr">
        <is>
          <t>Highest</t>
        </is>
      </c>
      <c r="K8" s="17" t="inlineStr">
        <is>
          <t>High</t>
        </is>
      </c>
      <c r="L8" s="17" t="inlineStr">
        <is>
          <t>Medium</t>
        </is>
      </c>
      <c r="M8" s="17" t="inlineStr">
        <is>
          <t>Low</t>
        </is>
      </c>
      <c r="N8" s="5" t="n"/>
    </row>
    <row r="9" ht="15" customHeight="1">
      <c r="B9" s="5">
        <f>+B16</f>
        <v/>
      </c>
      <c r="C9" s="67">
        <f>SUM(D9:G9)</f>
        <v/>
      </c>
      <c r="D9" s="67">
        <f>+D30</f>
        <v/>
      </c>
      <c r="E9" s="67">
        <f>+E30</f>
        <v/>
      </c>
      <c r="F9" s="67">
        <f>+F30</f>
        <v/>
      </c>
      <c r="G9" s="67">
        <f>+G30</f>
        <v/>
      </c>
      <c r="H9" s="68">
        <f>IFERROR((F9+G9)/C9,0)</f>
        <v/>
      </c>
      <c r="J9" s="69">
        <f>+J30</f>
        <v/>
      </c>
      <c r="K9" s="69">
        <f>+K30</f>
        <v/>
      </c>
      <c r="L9" s="69">
        <f>+L30</f>
        <v/>
      </c>
      <c r="M9" s="69">
        <f>+M30</f>
        <v/>
      </c>
    </row>
    <row r="10" ht="15" customHeight="1">
      <c r="B10" s="5">
        <f>+B33</f>
        <v/>
      </c>
      <c r="C10" s="67">
        <f>SUM(D10:G10)</f>
        <v/>
      </c>
      <c r="D10" s="67">
        <f>+D47</f>
        <v/>
      </c>
      <c r="E10" s="67">
        <f>+E47</f>
        <v/>
      </c>
      <c r="F10" s="67">
        <f>+F47</f>
        <v/>
      </c>
      <c r="G10" s="67">
        <f>+G47</f>
        <v/>
      </c>
      <c r="H10" s="68">
        <f>IFERROR((F10+G10)/C10,0)</f>
        <v/>
      </c>
      <c r="J10" s="69">
        <f>+J47</f>
        <v/>
      </c>
      <c r="K10" s="69">
        <f>+K47</f>
        <v/>
      </c>
      <c r="L10" s="69">
        <f>+L47</f>
        <v/>
      </c>
      <c r="M10" s="69">
        <f>+M47</f>
        <v/>
      </c>
    </row>
    <row r="11" ht="15" customHeight="1">
      <c r="A11" s="62" t="n"/>
      <c r="B11" s="5">
        <f>+B50</f>
        <v/>
      </c>
      <c r="C11" s="67">
        <f>SUM(D11:G11)</f>
        <v/>
      </c>
      <c r="D11" s="67">
        <f>+D64</f>
        <v/>
      </c>
      <c r="E11" s="67">
        <f>+E64</f>
        <v/>
      </c>
      <c r="F11" s="67">
        <f>+F64</f>
        <v/>
      </c>
      <c r="G11" s="67">
        <f>+G64</f>
        <v/>
      </c>
      <c r="H11" s="68">
        <f>IFERROR((F11+G11)/C11,0)</f>
        <v/>
      </c>
      <c r="I11" s="1" t="n"/>
      <c r="J11" s="69">
        <f>+J64</f>
        <v/>
      </c>
      <c r="K11" s="69">
        <f>+K64</f>
        <v/>
      </c>
      <c r="L11" s="69">
        <f>+L64</f>
        <v/>
      </c>
      <c r="M11" s="69">
        <f>+M64</f>
        <v/>
      </c>
      <c r="N11" s="1" t="n"/>
    </row>
    <row r="12" ht="15" customHeight="1">
      <c r="A12" s="62" t="n"/>
      <c r="B12" s="46">
        <f>+B67</f>
        <v/>
      </c>
      <c r="C12" s="67">
        <f>SUM(D12:G12)</f>
        <v/>
      </c>
      <c r="D12" s="67">
        <f>+D81</f>
        <v/>
      </c>
      <c r="E12" s="67">
        <f>+E81</f>
        <v/>
      </c>
      <c r="F12" s="67">
        <f>+F81</f>
        <v/>
      </c>
      <c r="G12" s="67">
        <f>+G81</f>
        <v/>
      </c>
      <c r="H12" s="68">
        <f>IFERROR((F12+G12)/C12,0)</f>
        <v/>
      </c>
      <c r="I12" s="1" t="n"/>
      <c r="J12" s="69">
        <f>+J81</f>
        <v/>
      </c>
      <c r="K12" s="69">
        <f>+K81</f>
        <v/>
      </c>
      <c r="L12" s="69">
        <f>+L81</f>
        <v/>
      </c>
      <c r="M12" s="69">
        <f>+M81</f>
        <v/>
      </c>
      <c r="N12" s="1" t="n"/>
    </row>
    <row r="13" ht="15" customHeight="1">
      <c r="A13" s="62" t="n"/>
      <c r="B13" s="36" t="inlineStr">
        <is>
          <t>Total</t>
        </is>
      </c>
      <c r="C13" s="70">
        <f>SUM(C9:C12)</f>
        <v/>
      </c>
      <c r="D13" s="70">
        <f>SUM(D9:D12)</f>
        <v/>
      </c>
      <c r="E13" s="70">
        <f>SUM(E9:E12)</f>
        <v/>
      </c>
      <c r="F13" s="70">
        <f>SUM(F9:F12)</f>
        <v/>
      </c>
      <c r="G13" s="70">
        <f>SUM(G9:G12)</f>
        <v/>
      </c>
      <c r="H13" s="71">
        <f>IFERROR((F13+G13)/C13,0)</f>
        <v/>
      </c>
      <c r="I13" s="4" t="n"/>
      <c r="J13" s="72">
        <f>SUM(J9:J12)</f>
        <v/>
      </c>
      <c r="K13" s="72">
        <f>SUM(K9:K12)</f>
        <v/>
      </c>
      <c r="L13" s="72">
        <f>SUM(L9:L12)</f>
        <v/>
      </c>
      <c r="M13" s="72">
        <f>SUM(M9:M12)</f>
        <v/>
      </c>
      <c r="N13" s="4" t="n"/>
      <c r="O13" s="1" t="n"/>
    </row>
    <row r="14">
      <c r="D14" s="52" t="n"/>
      <c r="E14" s="52" t="n"/>
      <c r="F14" s="52" t="n"/>
      <c r="G14" s="52" t="n"/>
      <c r="H14" s="52" t="n"/>
      <c r="J14" s="52" t="n"/>
      <c r="K14" s="52" t="n"/>
      <c r="L14" s="52" t="n"/>
      <c r="M14" s="52" t="n"/>
    </row>
    <row r="15" ht="15" customHeight="1"/>
    <row r="16" ht="15" customHeight="1" thickBot="1">
      <c r="A16" s="62" t="inlineStr">
        <is>
          <t>x</t>
        </is>
      </c>
      <c r="B16" s="63" t="inlineStr">
        <is>
          <t>Buyer</t>
        </is>
      </c>
      <c r="C16" s="37" t="n"/>
      <c r="D16" s="37" t="n"/>
      <c r="E16" s="37" t="n"/>
      <c r="F16" s="37" t="n"/>
      <c r="G16" s="37" t="n"/>
      <c r="H16" s="37" t="n"/>
      <c r="I16" s="37" t="n"/>
      <c r="J16" s="37" t="n"/>
      <c r="K16" s="37" t="n"/>
      <c r="L16" s="37" t="n"/>
      <c r="M16" s="38" t="n"/>
    </row>
    <row r="17" ht="5.15" customHeight="1">
      <c r="B17" s="26" t="n"/>
      <c r="C17" s="27" t="n"/>
      <c r="D17" s="27" t="n"/>
      <c r="E17" s="27" t="n"/>
      <c r="F17" s="27" t="n"/>
      <c r="G17" s="27" t="n"/>
      <c r="H17" s="27" t="n"/>
      <c r="I17" s="27" t="n"/>
      <c r="J17" s="27" t="n"/>
      <c r="K17" s="27" t="n"/>
      <c r="L17" s="18" t="n"/>
    </row>
    <row r="18" ht="15" customHeight="1">
      <c r="J18" s="12">
        <f>+$J$7</f>
        <v/>
      </c>
      <c r="K18" s="12" t="n"/>
      <c r="L18" s="12" t="n"/>
      <c r="M18" s="12" t="n"/>
    </row>
    <row r="19" ht="15" customHeight="1">
      <c r="B19" s="5" t="n"/>
      <c r="C19" s="13" t="inlineStr">
        <is>
          <t>Total</t>
        </is>
      </c>
      <c r="D19" s="14" t="inlineStr">
        <is>
          <t>Open</t>
        </is>
      </c>
      <c r="E19" s="14" t="inlineStr">
        <is>
          <t>Partial</t>
        </is>
      </c>
      <c r="F19" s="14" t="inlineStr">
        <is>
          <t>Closed</t>
        </is>
      </c>
      <c r="G19" s="14" t="inlineStr">
        <is>
          <t>N/A</t>
        </is>
      </c>
      <c r="H19" s="15" t="inlineStr">
        <is>
          <t>% Closed</t>
        </is>
      </c>
      <c r="I19" s="5" t="n"/>
      <c r="J19" s="17" t="inlineStr">
        <is>
          <t>Highest</t>
        </is>
      </c>
      <c r="K19" s="17" t="inlineStr">
        <is>
          <t>High</t>
        </is>
      </c>
      <c r="L19" s="17" t="inlineStr">
        <is>
          <t>Medium</t>
        </is>
      </c>
      <c r="M19" s="17" t="inlineStr">
        <is>
          <t>Low</t>
        </is>
      </c>
    </row>
    <row r="20" ht="15" customHeight="1">
      <c r="B20" s="45" t="inlineStr">
        <is>
          <t>[Input category here]</t>
        </is>
      </c>
      <c r="C20" s="67">
        <f>SUM(D20:G20)</f>
        <v/>
      </c>
      <c r="D20" s="67">
        <f>COUNTIFS(INDIRECT("'"&amp;$B$16&amp;"'!"&amp;"$H$5:$H$500"),D$19,INDIRECT("'"&amp;$B$16&amp;"'!"&amp;"$D$5:$D$500"),$B20)</f>
        <v/>
      </c>
      <c r="E20" s="67">
        <f>COUNTIFS(INDIRECT("'"&amp;$B$16&amp;"'!"&amp;"$H$5:$H$500"),E$19,INDIRECT("'"&amp;$B$16&amp;"'!"&amp;"$D$5:$D$500"),$B20)</f>
        <v/>
      </c>
      <c r="F20" s="67">
        <f>COUNTIFS(INDIRECT("'"&amp;$B$16&amp;"'!"&amp;"$H$5:$H$500"),F$19,INDIRECT("'"&amp;$B$16&amp;"'!"&amp;"$D$5:$D$500"),$B20)</f>
        <v/>
      </c>
      <c r="G20" s="67">
        <f>COUNTIFS(INDIRECT("'"&amp;$B$16&amp;"'!"&amp;"$H$5:$H$500"),G$19,INDIRECT("'"&amp;$B$16&amp;"'!"&amp;"$D$5:$D$500"),$B20)</f>
        <v/>
      </c>
      <c r="H20" s="68">
        <f>IFERROR((F20+G20)/C20,0)</f>
        <v/>
      </c>
      <c r="J20" s="69">
        <f>COUNTIFS(INDIRECT("'"&amp;$B$16&amp;"'!"&amp;"$H$5:$H$500"),$D$19,INDIRECT("'"&amp;$B$16&amp;"'!"&amp;"$D$5:$D$500"),$B20, INDIRECT("'"&amp;$B$16&amp;"'!"&amp;"$G$5:$G$500"),J$19)+COUNTIFS(INDIRECT("'"&amp;$B$16&amp;"'!"&amp;"$H$5:$H$500"),$E$19,INDIRECT("'"&amp;$B$16&amp;"'!"&amp;"$D$5:$D$500"),$B20, INDIRECT("'"&amp;$B$16&amp;"'!"&amp;"$G$5:$G$500"),J$19)</f>
        <v/>
      </c>
      <c r="K20" s="69">
        <f>COUNTIFS(INDIRECT("'"&amp;$B$16&amp;"'!"&amp;"$H$5:$H$500"),$D$19,INDIRECT("'"&amp;$B$16&amp;"'!"&amp;"$D$5:$D$500"),$B20, INDIRECT("'"&amp;$B$16&amp;"'!"&amp;"$G$5:$G$500"),K$19)+COUNTIFS(INDIRECT("'"&amp;$B$16&amp;"'!"&amp;"$H$5:$H$500"),$E$19,INDIRECT("'"&amp;$B$16&amp;"'!"&amp;"$D$5:$D$500"),$B20, INDIRECT("'"&amp;$B$16&amp;"'!"&amp;"$G$5:$G$500"),K$19)</f>
        <v/>
      </c>
      <c r="L20" s="69">
        <f>COUNTIFS(INDIRECT("'"&amp;$B$16&amp;"'!"&amp;"$H$5:$H$500"),$D$19,INDIRECT("'"&amp;$B$16&amp;"'!"&amp;"$D$5:$D$500"),$B20, INDIRECT("'"&amp;$B$16&amp;"'!"&amp;"$G$5:$G$500"),L$19)+COUNTIFS(INDIRECT("'"&amp;$B$16&amp;"'!"&amp;"$H$5:$H$500"),$E$19,INDIRECT("'"&amp;$B$16&amp;"'!"&amp;"$D$5:$D$500"),$B20, INDIRECT("'"&amp;$B$16&amp;"'!"&amp;"$G$5:$G$500"),L$19)</f>
        <v/>
      </c>
      <c r="M20" s="69">
        <f>COUNTIFS(INDIRECT("'"&amp;$B$16&amp;"'!"&amp;"$H$5:$H$500"),$D$19,INDIRECT("'"&amp;$B$16&amp;"'!"&amp;"$D$5:$D$500"),$B20, INDIRECT("'"&amp;$B$16&amp;"'!"&amp;"$G$5:$G$500"),M$19)+COUNTIFS(INDIRECT("'"&amp;$B$16&amp;"'!"&amp;"$H$5:$H$500"),$E$19,INDIRECT("'"&amp;$B$16&amp;"'!"&amp;"$D$5:$D$500"),$B20, INDIRECT("'"&amp;$B$16&amp;"'!"&amp;"$G$5:$G$500"),M$19)</f>
        <v/>
      </c>
    </row>
    <row r="21" ht="15" customHeight="1">
      <c r="B21" s="45" t="inlineStr">
        <is>
          <t>[Input category here]</t>
        </is>
      </c>
      <c r="C21" s="67">
        <f>SUM(D21:G21)</f>
        <v/>
      </c>
      <c r="D21" s="67">
        <f>COUNTIFS(INDIRECT("'"&amp;$B$16&amp;"'!"&amp;"$H$5:$H$500"),D$19,INDIRECT("'"&amp;$B$16&amp;"'!"&amp;"$D$5:$D$500"),$B21)</f>
        <v/>
      </c>
      <c r="E21" s="67">
        <f>COUNTIFS(INDIRECT("'"&amp;$B$16&amp;"'!"&amp;"$H$5:$H$500"),E$19,INDIRECT("'"&amp;$B$16&amp;"'!"&amp;"$D$5:$D$500"),$B21)</f>
        <v/>
      </c>
      <c r="F21" s="67">
        <f>COUNTIFS(INDIRECT("'"&amp;$B$16&amp;"'!"&amp;"$H$5:$H$500"),F$19,INDIRECT("'"&amp;$B$16&amp;"'!"&amp;"$D$5:$D$500"),$B21)</f>
        <v/>
      </c>
      <c r="G21" s="67">
        <f>COUNTIFS(INDIRECT("'"&amp;$B$16&amp;"'!"&amp;"$H$5:$H$500"),G$19,INDIRECT("'"&amp;$B$16&amp;"'!"&amp;"$D$5:$D$500"),$B21)</f>
        <v/>
      </c>
      <c r="H21" s="68">
        <f>IFERROR((F21+G21)/C21,0)</f>
        <v/>
      </c>
      <c r="J21" s="69">
        <f>COUNTIFS(INDIRECT("'"&amp;$B$16&amp;"'!"&amp;"$H$5:$H$500"),$D$19,INDIRECT("'"&amp;$B$16&amp;"'!"&amp;"$D$5:$D$500"),$B21, INDIRECT("'"&amp;$B$16&amp;"'!"&amp;"$G$5:$G$500"),J$19)+COUNTIFS(INDIRECT("'"&amp;$B$16&amp;"'!"&amp;"$H$5:$H$500"),$E$19,INDIRECT("'"&amp;$B$16&amp;"'!"&amp;"$D$5:$D$500"),$B21, INDIRECT("'"&amp;$B$16&amp;"'!"&amp;"$G$5:$G$500"),J$19)</f>
        <v/>
      </c>
      <c r="K21" s="69">
        <f>COUNTIFS(INDIRECT("'"&amp;$B$16&amp;"'!"&amp;"$H$5:$H$500"),$D$19,INDIRECT("'"&amp;$B$16&amp;"'!"&amp;"$D$5:$D$500"),$B21, INDIRECT("'"&amp;$B$16&amp;"'!"&amp;"$G$5:$G$500"),K$19)+COUNTIFS(INDIRECT("'"&amp;$B$16&amp;"'!"&amp;"$H$5:$H$500"),$E$19,INDIRECT("'"&amp;$B$16&amp;"'!"&amp;"$D$5:$D$500"),$B21, INDIRECT("'"&amp;$B$16&amp;"'!"&amp;"$G$5:$G$500"),K$19)</f>
        <v/>
      </c>
      <c r="L21" s="69">
        <f>COUNTIFS(INDIRECT("'"&amp;$B$16&amp;"'!"&amp;"$H$5:$H$500"),$D$19,INDIRECT("'"&amp;$B$16&amp;"'!"&amp;"$D$5:$D$500"),$B21, INDIRECT("'"&amp;$B$16&amp;"'!"&amp;"$G$5:$G$500"),L$19)+COUNTIFS(INDIRECT("'"&amp;$B$16&amp;"'!"&amp;"$H$5:$H$500"),$E$19,INDIRECT("'"&amp;$B$16&amp;"'!"&amp;"$D$5:$D$500"),$B21, INDIRECT("'"&amp;$B$16&amp;"'!"&amp;"$G$5:$G$500"),L$19)</f>
        <v/>
      </c>
      <c r="M21" s="69">
        <f>COUNTIFS(INDIRECT("'"&amp;$B$16&amp;"'!"&amp;"$H$5:$H$500"),$D$19,INDIRECT("'"&amp;$B$16&amp;"'!"&amp;"$D$5:$D$500"),$B21, INDIRECT("'"&amp;$B$16&amp;"'!"&amp;"$G$5:$G$500"),M$19)+COUNTIFS(INDIRECT("'"&amp;$B$16&amp;"'!"&amp;"$H$5:$H$500"),$E$19,INDIRECT("'"&amp;$B$16&amp;"'!"&amp;"$D$5:$D$500"),$B21, INDIRECT("'"&amp;$B$16&amp;"'!"&amp;"$G$5:$G$500"),M$19)</f>
        <v/>
      </c>
    </row>
    <row r="22" ht="15" customHeight="1">
      <c r="B22" s="45" t="inlineStr">
        <is>
          <t>[Input category here]</t>
        </is>
      </c>
      <c r="C22" s="67">
        <f>SUM(D22:G22)</f>
        <v/>
      </c>
      <c r="D22" s="67">
        <f>COUNTIFS(INDIRECT("'"&amp;$B$16&amp;"'!"&amp;"$H$5:$H$500"),D$19,INDIRECT("'"&amp;$B$16&amp;"'!"&amp;"$D$5:$D$500"),$B22)</f>
        <v/>
      </c>
      <c r="E22" s="67">
        <f>COUNTIFS(INDIRECT("'"&amp;$B$16&amp;"'!"&amp;"$H$5:$H$500"),E$19,INDIRECT("'"&amp;$B$16&amp;"'!"&amp;"$D$5:$D$500"),$B22)</f>
        <v/>
      </c>
      <c r="F22" s="67">
        <f>COUNTIFS(INDIRECT("'"&amp;$B$16&amp;"'!"&amp;"$H$5:$H$500"),F$19,INDIRECT("'"&amp;$B$16&amp;"'!"&amp;"$D$5:$D$500"),$B22)</f>
        <v/>
      </c>
      <c r="G22" s="67">
        <f>COUNTIFS(INDIRECT("'"&amp;$B$16&amp;"'!"&amp;"$H$5:$H$500"),G$19,INDIRECT("'"&amp;$B$16&amp;"'!"&amp;"$D$5:$D$500"),$B22)</f>
        <v/>
      </c>
      <c r="H22" s="68">
        <f>IFERROR((F22+G22)/C22,0)</f>
        <v/>
      </c>
      <c r="J22" s="69">
        <f>COUNTIFS(INDIRECT("'"&amp;$B$16&amp;"'!"&amp;"$H$5:$H$500"),$D$19,INDIRECT("'"&amp;$B$16&amp;"'!"&amp;"$D$5:$D$500"),$B22, INDIRECT("'"&amp;$B$16&amp;"'!"&amp;"$G$5:$G$500"),J$19)+COUNTIFS(INDIRECT("'"&amp;$B$16&amp;"'!"&amp;"$H$5:$H$500"),$E$19,INDIRECT("'"&amp;$B$16&amp;"'!"&amp;"$D$5:$D$500"),$B22, INDIRECT("'"&amp;$B$16&amp;"'!"&amp;"$G$5:$G$500"),J$19)</f>
        <v/>
      </c>
      <c r="K22" s="69">
        <f>COUNTIFS(INDIRECT("'"&amp;$B$16&amp;"'!"&amp;"$H$5:$H$500"),$D$19,INDIRECT("'"&amp;$B$16&amp;"'!"&amp;"$D$5:$D$500"),$B22, INDIRECT("'"&amp;$B$16&amp;"'!"&amp;"$G$5:$G$500"),K$19)+COUNTIFS(INDIRECT("'"&amp;$B$16&amp;"'!"&amp;"$H$5:$H$500"),$E$19,INDIRECT("'"&amp;$B$16&amp;"'!"&amp;"$D$5:$D$500"),$B22, INDIRECT("'"&amp;$B$16&amp;"'!"&amp;"$G$5:$G$500"),K$19)</f>
        <v/>
      </c>
      <c r="L22" s="69">
        <f>COUNTIFS(INDIRECT("'"&amp;$B$16&amp;"'!"&amp;"$H$5:$H$500"),$D$19,INDIRECT("'"&amp;$B$16&amp;"'!"&amp;"$D$5:$D$500"),$B22, INDIRECT("'"&amp;$B$16&amp;"'!"&amp;"$G$5:$G$500"),L$19)+COUNTIFS(INDIRECT("'"&amp;$B$16&amp;"'!"&amp;"$H$5:$H$500"),$E$19,INDIRECT("'"&amp;$B$16&amp;"'!"&amp;"$D$5:$D$500"),$B22, INDIRECT("'"&amp;$B$16&amp;"'!"&amp;"$G$5:$G$500"),L$19)</f>
        <v/>
      </c>
      <c r="M22" s="69">
        <f>COUNTIFS(INDIRECT("'"&amp;$B$16&amp;"'!"&amp;"$H$5:$H$500"),$D$19,INDIRECT("'"&amp;$B$16&amp;"'!"&amp;"$D$5:$D$500"),$B22, INDIRECT("'"&amp;$B$16&amp;"'!"&amp;"$G$5:$G$500"),M$19)+COUNTIFS(INDIRECT("'"&amp;$B$16&amp;"'!"&amp;"$H$5:$H$500"),$E$19,INDIRECT("'"&amp;$B$16&amp;"'!"&amp;"$D$5:$D$500"),$B22, INDIRECT("'"&amp;$B$16&amp;"'!"&amp;"$G$5:$G$500"),M$19)</f>
        <v/>
      </c>
    </row>
    <row r="23" ht="15" customHeight="1">
      <c r="B23" s="45" t="inlineStr">
        <is>
          <t>[Input category here]</t>
        </is>
      </c>
      <c r="C23" s="67">
        <f>SUM(D23:G23)</f>
        <v/>
      </c>
      <c r="D23" s="67">
        <f>COUNTIFS(INDIRECT("'"&amp;$B$16&amp;"'!"&amp;"$H$5:$H$500"),D$19,INDIRECT("'"&amp;$B$16&amp;"'!"&amp;"$D$5:$D$500"),$B23)</f>
        <v/>
      </c>
      <c r="E23" s="67">
        <f>COUNTIFS(INDIRECT("'"&amp;$B$16&amp;"'!"&amp;"$H$5:$H$500"),E$19,INDIRECT("'"&amp;$B$16&amp;"'!"&amp;"$D$5:$D$500"),$B23)</f>
        <v/>
      </c>
      <c r="F23" s="67">
        <f>COUNTIFS(INDIRECT("'"&amp;$B$16&amp;"'!"&amp;"$H$5:$H$500"),F$19,INDIRECT("'"&amp;$B$16&amp;"'!"&amp;"$D$5:$D$500"),$B23)</f>
        <v/>
      </c>
      <c r="G23" s="67">
        <f>COUNTIFS(INDIRECT("'"&amp;$B$16&amp;"'!"&amp;"$H$5:$H$500"),G$19,INDIRECT("'"&amp;$B$16&amp;"'!"&amp;"$D$5:$D$500"),$B23)</f>
        <v/>
      </c>
      <c r="H23" s="68">
        <f>IFERROR((F23+G23)/C23,0)</f>
        <v/>
      </c>
      <c r="J23" s="69">
        <f>COUNTIFS(INDIRECT("'"&amp;$B$16&amp;"'!"&amp;"$H$5:$H$500"),$D$19,INDIRECT("'"&amp;$B$16&amp;"'!"&amp;"$D$5:$D$500"),$B23, INDIRECT("'"&amp;$B$16&amp;"'!"&amp;"$G$5:$G$500"),J$19)+COUNTIFS(INDIRECT("'"&amp;$B$16&amp;"'!"&amp;"$H$5:$H$500"),$E$19,INDIRECT("'"&amp;$B$16&amp;"'!"&amp;"$D$5:$D$500"),$B23, INDIRECT("'"&amp;$B$16&amp;"'!"&amp;"$G$5:$G$500"),J$19)</f>
        <v/>
      </c>
      <c r="K23" s="69">
        <f>COUNTIFS(INDIRECT("'"&amp;$B$16&amp;"'!"&amp;"$H$5:$H$500"),$D$19,INDIRECT("'"&amp;$B$16&amp;"'!"&amp;"$D$5:$D$500"),$B23, INDIRECT("'"&amp;$B$16&amp;"'!"&amp;"$G$5:$G$500"),K$19)+COUNTIFS(INDIRECT("'"&amp;$B$16&amp;"'!"&amp;"$H$5:$H$500"),$E$19,INDIRECT("'"&amp;$B$16&amp;"'!"&amp;"$D$5:$D$500"),$B23, INDIRECT("'"&amp;$B$16&amp;"'!"&amp;"$G$5:$G$500"),K$19)</f>
        <v/>
      </c>
      <c r="L23" s="69">
        <f>COUNTIFS(INDIRECT("'"&amp;$B$16&amp;"'!"&amp;"$H$5:$H$500"),$D$19,INDIRECT("'"&amp;$B$16&amp;"'!"&amp;"$D$5:$D$500"),$B23, INDIRECT("'"&amp;$B$16&amp;"'!"&amp;"$G$5:$G$500"),L$19)+COUNTIFS(INDIRECT("'"&amp;$B$16&amp;"'!"&amp;"$H$5:$H$500"),$E$19,INDIRECT("'"&amp;$B$16&amp;"'!"&amp;"$D$5:$D$500"),$B23, INDIRECT("'"&amp;$B$16&amp;"'!"&amp;"$G$5:$G$500"),L$19)</f>
        <v/>
      </c>
      <c r="M23" s="69">
        <f>COUNTIFS(INDIRECT("'"&amp;$B$16&amp;"'!"&amp;"$H$5:$H$500"),$D$19,INDIRECT("'"&amp;$B$16&amp;"'!"&amp;"$D$5:$D$500"),$B23, INDIRECT("'"&amp;$B$16&amp;"'!"&amp;"$G$5:$G$500"),M$19)+COUNTIFS(INDIRECT("'"&amp;$B$16&amp;"'!"&amp;"$H$5:$H$500"),$E$19,INDIRECT("'"&amp;$B$16&amp;"'!"&amp;"$D$5:$D$500"),$B23, INDIRECT("'"&amp;$B$16&amp;"'!"&amp;"$G$5:$G$500"),M$19)</f>
        <v/>
      </c>
    </row>
    <row r="24" ht="15" customHeight="1">
      <c r="B24" s="45" t="inlineStr">
        <is>
          <t>[Input category here]</t>
        </is>
      </c>
      <c r="C24" s="67">
        <f>SUM(D24:G24)</f>
        <v/>
      </c>
      <c r="D24" s="67">
        <f>COUNTIFS(INDIRECT("'"&amp;$B$16&amp;"'!"&amp;"$H$5:$H$500"),D$19,INDIRECT("'"&amp;$B$16&amp;"'!"&amp;"$D$5:$D$500"),$B24)</f>
        <v/>
      </c>
      <c r="E24" s="67">
        <f>COUNTIFS(INDIRECT("'"&amp;$B$16&amp;"'!"&amp;"$H$5:$H$500"),E$19,INDIRECT("'"&amp;$B$16&amp;"'!"&amp;"$D$5:$D$500"),$B24)</f>
        <v/>
      </c>
      <c r="F24" s="67">
        <f>COUNTIFS(INDIRECT("'"&amp;$B$16&amp;"'!"&amp;"$H$5:$H$500"),F$19,INDIRECT("'"&amp;$B$16&amp;"'!"&amp;"$D$5:$D$500"),$B24)</f>
        <v/>
      </c>
      <c r="G24" s="67">
        <f>COUNTIFS(INDIRECT("'"&amp;$B$16&amp;"'!"&amp;"$H$5:$H$500"),G$19,INDIRECT("'"&amp;$B$16&amp;"'!"&amp;"$D$5:$D$500"),$B24)</f>
        <v/>
      </c>
      <c r="H24" s="68">
        <f>IFERROR((F24+G24)/C24,0)</f>
        <v/>
      </c>
      <c r="J24" s="69">
        <f>COUNTIFS(INDIRECT("'"&amp;$B$16&amp;"'!"&amp;"$H$5:$H$500"),$D$19,INDIRECT("'"&amp;$B$16&amp;"'!"&amp;"$D$5:$D$500"),$B24, INDIRECT("'"&amp;$B$16&amp;"'!"&amp;"$G$5:$G$500"),J$19)+COUNTIFS(INDIRECT("'"&amp;$B$16&amp;"'!"&amp;"$H$5:$H$500"),$E$19,INDIRECT("'"&amp;$B$16&amp;"'!"&amp;"$D$5:$D$500"),$B24, INDIRECT("'"&amp;$B$16&amp;"'!"&amp;"$G$5:$G$500"),J$19)</f>
        <v/>
      </c>
      <c r="K24" s="69">
        <f>COUNTIFS(INDIRECT("'"&amp;$B$16&amp;"'!"&amp;"$H$5:$H$500"),$D$19,INDIRECT("'"&amp;$B$16&amp;"'!"&amp;"$D$5:$D$500"),$B24, INDIRECT("'"&amp;$B$16&amp;"'!"&amp;"$G$5:$G$500"),K$19)+COUNTIFS(INDIRECT("'"&amp;$B$16&amp;"'!"&amp;"$H$5:$H$500"),$E$19,INDIRECT("'"&amp;$B$16&amp;"'!"&amp;"$D$5:$D$500"),$B24, INDIRECT("'"&amp;$B$16&amp;"'!"&amp;"$G$5:$G$500"),K$19)</f>
        <v/>
      </c>
      <c r="L24" s="69">
        <f>COUNTIFS(INDIRECT("'"&amp;$B$16&amp;"'!"&amp;"$H$5:$H$500"),$D$19,INDIRECT("'"&amp;$B$16&amp;"'!"&amp;"$D$5:$D$500"),$B24, INDIRECT("'"&amp;$B$16&amp;"'!"&amp;"$G$5:$G$500"),L$19)+COUNTIFS(INDIRECT("'"&amp;$B$16&amp;"'!"&amp;"$H$5:$H$500"),$E$19,INDIRECT("'"&amp;$B$16&amp;"'!"&amp;"$D$5:$D$500"),$B24, INDIRECT("'"&amp;$B$16&amp;"'!"&amp;"$G$5:$G$500"),L$19)</f>
        <v/>
      </c>
      <c r="M24" s="69">
        <f>COUNTIFS(INDIRECT("'"&amp;$B$16&amp;"'!"&amp;"$H$5:$H$500"),$D$19,INDIRECT("'"&amp;$B$16&amp;"'!"&amp;"$D$5:$D$500"),$B24, INDIRECT("'"&amp;$B$16&amp;"'!"&amp;"$G$5:$G$500"),M$19)+COUNTIFS(INDIRECT("'"&amp;$B$16&amp;"'!"&amp;"$H$5:$H$500"),$E$19,INDIRECT("'"&amp;$B$16&amp;"'!"&amp;"$D$5:$D$500"),$B24, INDIRECT("'"&amp;$B$16&amp;"'!"&amp;"$G$5:$G$500"),M$19)</f>
        <v/>
      </c>
    </row>
    <row r="25" ht="15" customHeight="1">
      <c r="B25" s="45" t="inlineStr">
        <is>
          <t>[Input category here]</t>
        </is>
      </c>
      <c r="C25" s="67">
        <f>SUM(D25:G25)</f>
        <v/>
      </c>
      <c r="D25" s="67">
        <f>COUNTIFS(INDIRECT("'"&amp;$B$16&amp;"'!"&amp;"$H$5:$H$500"),D$19,INDIRECT("'"&amp;$B$16&amp;"'!"&amp;"$D$5:$D$500"),$B25)</f>
        <v/>
      </c>
      <c r="E25" s="67">
        <f>COUNTIFS(INDIRECT("'"&amp;$B$16&amp;"'!"&amp;"$H$5:$H$500"),E$19,INDIRECT("'"&amp;$B$16&amp;"'!"&amp;"$D$5:$D$500"),$B25)</f>
        <v/>
      </c>
      <c r="F25" s="67">
        <f>COUNTIFS(INDIRECT("'"&amp;$B$16&amp;"'!"&amp;"$H$5:$H$500"),F$19,INDIRECT("'"&amp;$B$16&amp;"'!"&amp;"$D$5:$D$500"),$B25)</f>
        <v/>
      </c>
      <c r="G25" s="67">
        <f>COUNTIFS(INDIRECT("'"&amp;$B$16&amp;"'!"&amp;"$H$5:$H$500"),G$19,INDIRECT("'"&amp;$B$16&amp;"'!"&amp;"$D$5:$D$500"),$B25)</f>
        <v/>
      </c>
      <c r="H25" s="68">
        <f>IFERROR((F25+G25)/C25,0)</f>
        <v/>
      </c>
      <c r="J25" s="69">
        <f>COUNTIFS(INDIRECT("'"&amp;$B$16&amp;"'!"&amp;"$H$5:$H$500"),$D$19,INDIRECT("'"&amp;$B$16&amp;"'!"&amp;"$D$5:$D$500"),$B25, INDIRECT("'"&amp;$B$16&amp;"'!"&amp;"$G$5:$G$500"),J$19)+COUNTIFS(INDIRECT("'"&amp;$B$16&amp;"'!"&amp;"$H$5:$H$500"),$E$19,INDIRECT("'"&amp;$B$16&amp;"'!"&amp;"$D$5:$D$500"),$B25, INDIRECT("'"&amp;$B$16&amp;"'!"&amp;"$G$5:$G$500"),J$19)</f>
        <v/>
      </c>
      <c r="K25" s="69">
        <f>COUNTIFS(INDIRECT("'"&amp;$B$16&amp;"'!"&amp;"$H$5:$H$500"),$D$19,INDIRECT("'"&amp;$B$16&amp;"'!"&amp;"$D$5:$D$500"),$B25, INDIRECT("'"&amp;$B$16&amp;"'!"&amp;"$G$5:$G$500"),K$19)+COUNTIFS(INDIRECT("'"&amp;$B$16&amp;"'!"&amp;"$H$5:$H$500"),$E$19,INDIRECT("'"&amp;$B$16&amp;"'!"&amp;"$D$5:$D$500"),$B25, INDIRECT("'"&amp;$B$16&amp;"'!"&amp;"$G$5:$G$500"),K$19)</f>
        <v/>
      </c>
      <c r="L25" s="69">
        <f>COUNTIFS(INDIRECT("'"&amp;$B$16&amp;"'!"&amp;"$H$5:$H$500"),$D$19,INDIRECT("'"&amp;$B$16&amp;"'!"&amp;"$D$5:$D$500"),$B25, INDIRECT("'"&amp;$B$16&amp;"'!"&amp;"$G$5:$G$500"),L$19)+COUNTIFS(INDIRECT("'"&amp;$B$16&amp;"'!"&amp;"$H$5:$H$500"),$E$19,INDIRECT("'"&amp;$B$16&amp;"'!"&amp;"$D$5:$D$500"),$B25, INDIRECT("'"&amp;$B$16&amp;"'!"&amp;"$G$5:$G$500"),L$19)</f>
        <v/>
      </c>
      <c r="M25" s="69">
        <f>COUNTIFS(INDIRECT("'"&amp;$B$16&amp;"'!"&amp;"$H$5:$H$500"),$D$19,INDIRECT("'"&amp;$B$16&amp;"'!"&amp;"$D$5:$D$500"),$B25, INDIRECT("'"&amp;$B$16&amp;"'!"&amp;"$G$5:$G$500"),M$19)+COUNTIFS(INDIRECT("'"&amp;$B$16&amp;"'!"&amp;"$H$5:$H$500"),$E$19,INDIRECT("'"&amp;$B$16&amp;"'!"&amp;"$D$5:$D$500"),$B25, INDIRECT("'"&amp;$B$16&amp;"'!"&amp;"$G$5:$G$500"),M$19)</f>
        <v/>
      </c>
    </row>
    <row r="26" ht="15" customHeight="1">
      <c r="B26" s="45" t="inlineStr">
        <is>
          <t>[Input category here]</t>
        </is>
      </c>
      <c r="C26" s="67">
        <f>SUM(D26:G26)</f>
        <v/>
      </c>
      <c r="D26" s="67">
        <f>COUNTIFS(INDIRECT("'"&amp;$B$16&amp;"'!"&amp;"$H$5:$H$500"),D$19,INDIRECT("'"&amp;$B$16&amp;"'!"&amp;"$D$5:$D$500"),$B26)</f>
        <v/>
      </c>
      <c r="E26" s="67">
        <f>COUNTIFS(INDIRECT("'"&amp;$B$16&amp;"'!"&amp;"$H$5:$H$500"),E$19,INDIRECT("'"&amp;$B$16&amp;"'!"&amp;"$D$5:$D$500"),$B26)</f>
        <v/>
      </c>
      <c r="F26" s="67">
        <f>COUNTIFS(INDIRECT("'"&amp;$B$16&amp;"'!"&amp;"$H$5:$H$500"),F$19,INDIRECT("'"&amp;$B$16&amp;"'!"&amp;"$D$5:$D$500"),$B26)</f>
        <v/>
      </c>
      <c r="G26" s="67">
        <f>COUNTIFS(INDIRECT("'"&amp;$B$16&amp;"'!"&amp;"$H$5:$H$500"),G$19,INDIRECT("'"&amp;$B$16&amp;"'!"&amp;"$D$5:$D$500"),$B26)</f>
        <v/>
      </c>
      <c r="H26" s="68">
        <f>IFERROR((F26+G26)/C26,0)</f>
        <v/>
      </c>
      <c r="J26" s="69">
        <f>COUNTIFS(INDIRECT("'"&amp;$B$16&amp;"'!"&amp;"$H$5:$H$500"),$D$19,INDIRECT("'"&amp;$B$16&amp;"'!"&amp;"$D$5:$D$500"),$B26, INDIRECT("'"&amp;$B$16&amp;"'!"&amp;"$G$5:$G$500"),J$19)+COUNTIFS(INDIRECT("'"&amp;$B$16&amp;"'!"&amp;"$H$5:$H$500"),$E$19,INDIRECT("'"&amp;$B$16&amp;"'!"&amp;"$D$5:$D$500"),$B26, INDIRECT("'"&amp;$B$16&amp;"'!"&amp;"$G$5:$G$500"),J$19)</f>
        <v/>
      </c>
      <c r="K26" s="69">
        <f>COUNTIFS(INDIRECT("'"&amp;$B$16&amp;"'!"&amp;"$H$5:$H$500"),$D$19,INDIRECT("'"&amp;$B$16&amp;"'!"&amp;"$D$5:$D$500"),$B26, INDIRECT("'"&amp;$B$16&amp;"'!"&amp;"$G$5:$G$500"),K$19)+COUNTIFS(INDIRECT("'"&amp;$B$16&amp;"'!"&amp;"$H$5:$H$500"),$E$19,INDIRECT("'"&amp;$B$16&amp;"'!"&amp;"$D$5:$D$500"),$B26, INDIRECT("'"&amp;$B$16&amp;"'!"&amp;"$G$5:$G$500"),K$19)</f>
        <v/>
      </c>
      <c r="L26" s="69">
        <f>COUNTIFS(INDIRECT("'"&amp;$B$16&amp;"'!"&amp;"$H$5:$H$500"),$D$19,INDIRECT("'"&amp;$B$16&amp;"'!"&amp;"$D$5:$D$500"),$B26, INDIRECT("'"&amp;$B$16&amp;"'!"&amp;"$G$5:$G$500"),L$19)+COUNTIFS(INDIRECT("'"&amp;$B$16&amp;"'!"&amp;"$H$5:$H$500"),$E$19,INDIRECT("'"&amp;$B$16&amp;"'!"&amp;"$D$5:$D$500"),$B26, INDIRECT("'"&amp;$B$16&amp;"'!"&amp;"$G$5:$G$500"),L$19)</f>
        <v/>
      </c>
      <c r="M26" s="69">
        <f>COUNTIFS(INDIRECT("'"&amp;$B$16&amp;"'!"&amp;"$H$5:$H$500"),$D$19,INDIRECT("'"&amp;$B$16&amp;"'!"&amp;"$D$5:$D$500"),$B26, INDIRECT("'"&amp;$B$16&amp;"'!"&amp;"$G$5:$G$500"),M$19)+COUNTIFS(INDIRECT("'"&amp;$B$16&amp;"'!"&amp;"$H$5:$H$500"),$E$19,INDIRECT("'"&amp;$B$16&amp;"'!"&amp;"$D$5:$D$500"),$B26, INDIRECT("'"&amp;$B$16&amp;"'!"&amp;"$G$5:$G$500"),M$19)</f>
        <v/>
      </c>
    </row>
    <row r="27" ht="15" customHeight="1">
      <c r="B27" s="45" t="inlineStr">
        <is>
          <t>[Input category here]</t>
        </is>
      </c>
      <c r="C27" s="67">
        <f>SUM(D27:G27)</f>
        <v/>
      </c>
      <c r="D27" s="67">
        <f>COUNTIFS(INDIRECT("'"&amp;$B$16&amp;"'!"&amp;"$H$5:$H$500"),D$19,INDIRECT("'"&amp;$B$16&amp;"'!"&amp;"$D$5:$D$500"),$B27)</f>
        <v/>
      </c>
      <c r="E27" s="67">
        <f>COUNTIFS(INDIRECT("'"&amp;$B$16&amp;"'!"&amp;"$H$5:$H$500"),E$19,INDIRECT("'"&amp;$B$16&amp;"'!"&amp;"$D$5:$D$500"),$B27)</f>
        <v/>
      </c>
      <c r="F27" s="67">
        <f>COUNTIFS(INDIRECT("'"&amp;$B$16&amp;"'!"&amp;"$H$5:$H$500"),F$19,INDIRECT("'"&amp;$B$16&amp;"'!"&amp;"$D$5:$D$500"),$B27)</f>
        <v/>
      </c>
      <c r="G27" s="67">
        <f>COUNTIFS(INDIRECT("'"&amp;$B$16&amp;"'!"&amp;"$H$5:$H$500"),G$19,INDIRECT("'"&amp;$B$16&amp;"'!"&amp;"$D$5:$D$500"),$B27)</f>
        <v/>
      </c>
      <c r="H27" s="68">
        <f>IFERROR((F27+G27)/C27,0)</f>
        <v/>
      </c>
      <c r="J27" s="69">
        <f>COUNTIFS(INDIRECT("'"&amp;$B$16&amp;"'!"&amp;"$H$5:$H$500"),$D$19,INDIRECT("'"&amp;$B$16&amp;"'!"&amp;"$D$5:$D$500"),$B27, INDIRECT("'"&amp;$B$16&amp;"'!"&amp;"$G$5:$G$500"),J$19)+COUNTIFS(INDIRECT("'"&amp;$B$16&amp;"'!"&amp;"$H$5:$H$500"),$E$19,INDIRECT("'"&amp;$B$16&amp;"'!"&amp;"$D$5:$D$500"),$B27, INDIRECT("'"&amp;$B$16&amp;"'!"&amp;"$G$5:$G$500"),J$19)</f>
        <v/>
      </c>
      <c r="K27" s="69">
        <f>COUNTIFS(INDIRECT("'"&amp;$B$16&amp;"'!"&amp;"$H$5:$H$500"),$D$19,INDIRECT("'"&amp;$B$16&amp;"'!"&amp;"$D$5:$D$500"),$B27, INDIRECT("'"&amp;$B$16&amp;"'!"&amp;"$G$5:$G$500"),K$19)+COUNTIFS(INDIRECT("'"&amp;$B$16&amp;"'!"&amp;"$H$5:$H$500"),$E$19,INDIRECT("'"&amp;$B$16&amp;"'!"&amp;"$D$5:$D$500"),$B27, INDIRECT("'"&amp;$B$16&amp;"'!"&amp;"$G$5:$G$500"),K$19)</f>
        <v/>
      </c>
      <c r="L27" s="69">
        <f>COUNTIFS(INDIRECT("'"&amp;$B$16&amp;"'!"&amp;"$H$5:$H$500"),$D$19,INDIRECT("'"&amp;$B$16&amp;"'!"&amp;"$D$5:$D$500"),$B27, INDIRECT("'"&amp;$B$16&amp;"'!"&amp;"$G$5:$G$500"),L$19)+COUNTIFS(INDIRECT("'"&amp;$B$16&amp;"'!"&amp;"$H$5:$H$500"),$E$19,INDIRECT("'"&amp;$B$16&amp;"'!"&amp;"$D$5:$D$500"),$B27, INDIRECT("'"&amp;$B$16&amp;"'!"&amp;"$G$5:$G$500"),L$19)</f>
        <v/>
      </c>
      <c r="M27" s="69">
        <f>COUNTIFS(INDIRECT("'"&amp;$B$16&amp;"'!"&amp;"$H$5:$H$500"),$D$19,INDIRECT("'"&amp;$B$16&amp;"'!"&amp;"$D$5:$D$500"),$B27, INDIRECT("'"&amp;$B$16&amp;"'!"&amp;"$G$5:$G$500"),M$19)+COUNTIFS(INDIRECT("'"&amp;$B$16&amp;"'!"&amp;"$H$5:$H$500"),$E$19,INDIRECT("'"&amp;$B$16&amp;"'!"&amp;"$D$5:$D$500"),$B27, INDIRECT("'"&amp;$B$16&amp;"'!"&amp;"$G$5:$G$500"),M$19)</f>
        <v/>
      </c>
    </row>
    <row r="28" ht="15" customHeight="1">
      <c r="B28" s="45" t="inlineStr">
        <is>
          <t>[Input category here]</t>
        </is>
      </c>
      <c r="C28" s="67">
        <f>SUM(D28:G28)</f>
        <v/>
      </c>
      <c r="D28" s="67">
        <f>COUNTIFS(INDIRECT("'"&amp;$B$16&amp;"'!"&amp;"$H$5:$H$500"),D$19,INDIRECT("'"&amp;$B$16&amp;"'!"&amp;"$D$5:$D$500"),$B28)</f>
        <v/>
      </c>
      <c r="E28" s="67">
        <f>COUNTIFS(INDIRECT("'"&amp;$B$16&amp;"'!"&amp;"$H$5:$H$500"),E$19,INDIRECT("'"&amp;$B$16&amp;"'!"&amp;"$D$5:$D$500"),$B28)</f>
        <v/>
      </c>
      <c r="F28" s="67">
        <f>COUNTIFS(INDIRECT("'"&amp;$B$16&amp;"'!"&amp;"$H$5:$H$500"),F$19,INDIRECT("'"&amp;$B$16&amp;"'!"&amp;"$D$5:$D$500"),$B28)</f>
        <v/>
      </c>
      <c r="G28" s="67">
        <f>COUNTIFS(INDIRECT("'"&amp;$B$16&amp;"'!"&amp;"$H$5:$H$500"),G$19,INDIRECT("'"&amp;$B$16&amp;"'!"&amp;"$D$5:$D$500"),$B28)</f>
        <v/>
      </c>
      <c r="H28" s="68">
        <f>IFERROR((F28+G28)/C28,0)</f>
        <v/>
      </c>
      <c r="J28" s="69">
        <f>COUNTIFS(INDIRECT("'"&amp;$B$16&amp;"'!"&amp;"$H$5:$H$500"),$D$19,INDIRECT("'"&amp;$B$16&amp;"'!"&amp;"$D$5:$D$500"),$B28, INDIRECT("'"&amp;$B$16&amp;"'!"&amp;"$G$5:$G$500"),J$19)+COUNTIFS(INDIRECT("'"&amp;$B$16&amp;"'!"&amp;"$H$5:$H$500"),$E$19,INDIRECT("'"&amp;$B$16&amp;"'!"&amp;"$D$5:$D$500"),$B28, INDIRECT("'"&amp;$B$16&amp;"'!"&amp;"$G$5:$G$500"),J$19)</f>
        <v/>
      </c>
      <c r="K28" s="69">
        <f>COUNTIFS(INDIRECT("'"&amp;$B$16&amp;"'!"&amp;"$H$5:$H$500"),$D$19,INDIRECT("'"&amp;$B$16&amp;"'!"&amp;"$D$5:$D$500"),$B28, INDIRECT("'"&amp;$B$16&amp;"'!"&amp;"$G$5:$G$500"),K$19)+COUNTIFS(INDIRECT("'"&amp;$B$16&amp;"'!"&amp;"$H$5:$H$500"),$E$19,INDIRECT("'"&amp;$B$16&amp;"'!"&amp;"$D$5:$D$500"),$B28, INDIRECT("'"&amp;$B$16&amp;"'!"&amp;"$G$5:$G$500"),K$19)</f>
        <v/>
      </c>
      <c r="L28" s="69">
        <f>COUNTIFS(INDIRECT("'"&amp;$B$16&amp;"'!"&amp;"$H$5:$H$500"),$D$19,INDIRECT("'"&amp;$B$16&amp;"'!"&amp;"$D$5:$D$500"),$B28, INDIRECT("'"&amp;$B$16&amp;"'!"&amp;"$G$5:$G$500"),L$19)+COUNTIFS(INDIRECT("'"&amp;$B$16&amp;"'!"&amp;"$H$5:$H$500"),$E$19,INDIRECT("'"&amp;$B$16&amp;"'!"&amp;"$D$5:$D$500"),$B28, INDIRECT("'"&amp;$B$16&amp;"'!"&amp;"$G$5:$G$500"),L$19)</f>
        <v/>
      </c>
      <c r="M28" s="69">
        <f>COUNTIFS(INDIRECT("'"&amp;$B$16&amp;"'!"&amp;"$H$5:$H$500"),$D$19,INDIRECT("'"&amp;$B$16&amp;"'!"&amp;"$D$5:$D$500"),$B28, INDIRECT("'"&amp;$B$16&amp;"'!"&amp;"$G$5:$G$500"),M$19)+COUNTIFS(INDIRECT("'"&amp;$B$16&amp;"'!"&amp;"$H$5:$H$500"),$E$19,INDIRECT("'"&amp;$B$16&amp;"'!"&amp;"$D$5:$D$500"),$B28, INDIRECT("'"&amp;$B$16&amp;"'!"&amp;"$G$5:$G$500"),M$19)</f>
        <v/>
      </c>
    </row>
    <row r="29" ht="15" customHeight="1">
      <c r="A29" s="62" t="n"/>
      <c r="B29" s="45" t="inlineStr">
        <is>
          <t>[Input category here]</t>
        </is>
      </c>
      <c r="C29" s="67">
        <f>SUM(D29:G29)</f>
        <v/>
      </c>
      <c r="D29" s="67">
        <f>COUNTIFS(INDIRECT("'"&amp;$B$16&amp;"'!"&amp;"$H$5:$H$500"),D$19,INDIRECT("'"&amp;$B$16&amp;"'!"&amp;"$D$5:$D$500"),$B29)</f>
        <v/>
      </c>
      <c r="E29" s="67">
        <f>COUNTIFS(INDIRECT("'"&amp;$B$16&amp;"'!"&amp;"$H$5:$H$500"),E$19,INDIRECT("'"&amp;$B$16&amp;"'!"&amp;"$D$5:$D$500"),$B29)</f>
        <v/>
      </c>
      <c r="F29" s="67">
        <f>COUNTIFS(INDIRECT("'"&amp;$B$16&amp;"'!"&amp;"$H$5:$H$500"),F$19,INDIRECT("'"&amp;$B$16&amp;"'!"&amp;"$D$5:$D$500"),$B29)</f>
        <v/>
      </c>
      <c r="G29" s="67">
        <f>COUNTIFS(INDIRECT("'"&amp;$B$16&amp;"'!"&amp;"$H$5:$H$500"),G$19,INDIRECT("'"&amp;$B$16&amp;"'!"&amp;"$D$5:$D$500"),$B29)</f>
        <v/>
      </c>
      <c r="H29" s="68">
        <f>IFERROR((F29+G29)/C29,0)</f>
        <v/>
      </c>
      <c r="I29" s="1" t="n"/>
      <c r="J29" s="69">
        <f>COUNTIFS(INDIRECT("'"&amp;$B$16&amp;"'!"&amp;"$H$5:$H$500"),$D$19,INDIRECT("'"&amp;$B$16&amp;"'!"&amp;"$D$5:$D$500"),$B29, INDIRECT("'"&amp;$B$16&amp;"'!"&amp;"$G$5:$G$500"),J$19)+COUNTIFS(INDIRECT("'"&amp;$B$16&amp;"'!"&amp;"$H$5:$H$500"),$E$19,INDIRECT("'"&amp;$B$16&amp;"'!"&amp;"$D$5:$D$500"),$B29, INDIRECT("'"&amp;$B$16&amp;"'!"&amp;"$G$5:$G$500"),J$19)</f>
        <v/>
      </c>
      <c r="K29" s="69">
        <f>COUNTIFS(INDIRECT("'"&amp;$B$16&amp;"'!"&amp;"$H$5:$H$500"),$D$19,INDIRECT("'"&amp;$B$16&amp;"'!"&amp;"$D$5:$D$500"),$B29, INDIRECT("'"&amp;$B$16&amp;"'!"&amp;"$G$5:$G$500"),K$19)+COUNTIFS(INDIRECT("'"&amp;$B$16&amp;"'!"&amp;"$H$5:$H$500"),$E$19,INDIRECT("'"&amp;$B$16&amp;"'!"&amp;"$D$5:$D$500"),$B29, INDIRECT("'"&amp;$B$16&amp;"'!"&amp;"$G$5:$G$500"),K$19)</f>
        <v/>
      </c>
      <c r="L29" s="69">
        <f>COUNTIFS(INDIRECT("'"&amp;$B$16&amp;"'!"&amp;"$H$5:$H$500"),$D$19,INDIRECT("'"&amp;$B$16&amp;"'!"&amp;"$D$5:$D$500"),$B29, INDIRECT("'"&amp;$B$16&amp;"'!"&amp;"$G$5:$G$500"),L$19)+COUNTIFS(INDIRECT("'"&amp;$B$16&amp;"'!"&amp;"$H$5:$H$500"),$E$19,INDIRECT("'"&amp;$B$16&amp;"'!"&amp;"$D$5:$D$500"),$B29, INDIRECT("'"&amp;$B$16&amp;"'!"&amp;"$G$5:$G$500"),L$19)</f>
        <v/>
      </c>
      <c r="M29" s="69">
        <f>COUNTIFS(INDIRECT("'"&amp;$B$16&amp;"'!"&amp;"$H$5:$H$500"),$D$19,INDIRECT("'"&amp;$B$16&amp;"'!"&amp;"$D$5:$D$500"),$B29, INDIRECT("'"&amp;$B$16&amp;"'!"&amp;"$G$5:$G$500"),M$19)+COUNTIFS(INDIRECT("'"&amp;$B$16&amp;"'!"&amp;"$H$5:$H$500"),$E$19,INDIRECT("'"&amp;$B$16&amp;"'!"&amp;"$D$5:$D$500"),$B29, INDIRECT("'"&amp;$B$16&amp;"'!"&amp;"$G$5:$G$500"),M$19)</f>
        <v/>
      </c>
    </row>
    <row r="30" ht="15" customHeight="1">
      <c r="A30" s="62" t="n"/>
      <c r="B30" s="16" t="inlineStr">
        <is>
          <t>Total</t>
        </is>
      </c>
      <c r="C30" s="73">
        <f>SUM(C20:C29)</f>
        <v/>
      </c>
      <c r="D30" s="73">
        <f>SUM(D20:D29)</f>
        <v/>
      </c>
      <c r="E30" s="73">
        <f>SUM(E20:E29)</f>
        <v/>
      </c>
      <c r="F30" s="73">
        <f>SUM(F20:F29)</f>
        <v/>
      </c>
      <c r="G30" s="73">
        <f>SUM(G20:G29)</f>
        <v/>
      </c>
      <c r="H30" s="74">
        <f>IFERROR((F30+G30)/C30,0)</f>
        <v/>
      </c>
      <c r="I30" s="4" t="n"/>
      <c r="J30" s="75">
        <f>SUM(J20:J29)</f>
        <v/>
      </c>
      <c r="K30" s="75">
        <f>SUM(K20:K29)</f>
        <v/>
      </c>
      <c r="L30" s="75">
        <f>SUM(L20:L29)</f>
        <v/>
      </c>
      <c r="M30" s="75">
        <f>SUM(M20:M29)</f>
        <v/>
      </c>
    </row>
    <row r="31">
      <c r="J31" s="4" t="n"/>
      <c r="K31" s="4" t="n"/>
    </row>
    <row r="32">
      <c r="J32" s="4" t="n"/>
      <c r="K32" s="4" t="n"/>
    </row>
    <row r="33" ht="15" customHeight="1" thickBot="1">
      <c r="A33" s="62" t="inlineStr">
        <is>
          <t>x</t>
        </is>
      </c>
      <c r="B33" s="63" t="inlineStr">
        <is>
          <t>Advisor A</t>
        </is>
      </c>
      <c r="C33" s="37" t="n"/>
      <c r="D33" s="37" t="n"/>
      <c r="E33" s="37" t="n"/>
      <c r="F33" s="37" t="n"/>
      <c r="G33" s="37" t="n"/>
      <c r="H33" s="37" t="n"/>
      <c r="I33" s="37" t="n"/>
      <c r="J33" s="37" t="n"/>
      <c r="K33" s="37" t="n"/>
      <c r="L33" s="37" t="n"/>
      <c r="M33" s="38" t="n"/>
    </row>
    <row r="34" ht="5.15" customHeight="1">
      <c r="B34" s="26" t="n"/>
      <c r="C34" s="27" t="n"/>
      <c r="D34" s="27" t="n"/>
      <c r="E34" s="27" t="n"/>
      <c r="F34" s="27" t="n"/>
      <c r="G34" s="27" t="n"/>
      <c r="H34" s="27" t="n"/>
      <c r="I34" s="27" t="n"/>
      <c r="J34" s="27" t="n"/>
      <c r="K34" s="27" t="n"/>
      <c r="L34" s="18" t="n"/>
    </row>
    <row r="35" ht="15" customHeight="1">
      <c r="J35" s="12">
        <f>+$J$7</f>
        <v/>
      </c>
      <c r="K35" s="12" t="n"/>
      <c r="L35" s="12" t="n"/>
      <c r="M35" s="12" t="n"/>
    </row>
    <row r="36" ht="15" customHeight="1">
      <c r="B36" s="5" t="n"/>
      <c r="C36" s="13" t="inlineStr">
        <is>
          <t>Total</t>
        </is>
      </c>
      <c r="D36" s="14" t="inlineStr">
        <is>
          <t>Open</t>
        </is>
      </c>
      <c r="E36" s="14" t="inlineStr">
        <is>
          <t>Partial</t>
        </is>
      </c>
      <c r="F36" s="14" t="inlineStr">
        <is>
          <t>Closed</t>
        </is>
      </c>
      <c r="G36" s="14" t="inlineStr">
        <is>
          <t>N/A</t>
        </is>
      </c>
      <c r="H36" s="15" t="inlineStr">
        <is>
          <t>% Closed</t>
        </is>
      </c>
      <c r="I36" s="5" t="n"/>
      <c r="J36" s="17" t="inlineStr">
        <is>
          <t>Highest</t>
        </is>
      </c>
      <c r="K36" s="17" t="inlineStr">
        <is>
          <t>High</t>
        </is>
      </c>
      <c r="L36" s="17" t="inlineStr">
        <is>
          <t>Medium</t>
        </is>
      </c>
      <c r="M36" s="17" t="inlineStr">
        <is>
          <t>Low</t>
        </is>
      </c>
    </row>
    <row r="37" ht="15" customHeight="1">
      <c r="B37" s="45" t="inlineStr">
        <is>
          <t>Regulatory &amp; Moratorium</t>
        </is>
      </c>
      <c r="C37" s="67">
        <f>SUM(D37:G37)</f>
        <v/>
      </c>
      <c r="D37" s="67">
        <f>COUNTIFS(INDIRECT("'"&amp;$B$33&amp;"'!"&amp;"$H$5:$H$500"),D$19,INDIRECT("'"&amp;$B$33&amp;"'!"&amp;"$D$5:$D$500"),$B37)</f>
        <v/>
      </c>
      <c r="E37" s="67">
        <f>COUNTIFS(INDIRECT("'"&amp;$B$33&amp;"'!"&amp;"$H$5:$H$500"),E$19,INDIRECT("'"&amp;$B$33&amp;"'!"&amp;"$D$5:$D$500"),$B37)</f>
        <v/>
      </c>
      <c r="F37" s="67">
        <f>COUNTIFS(INDIRECT("'"&amp;$B$33&amp;"'!"&amp;"$H$5:$H$500"),F$19,INDIRECT("'"&amp;$B$33&amp;"'!"&amp;"$D$5:$D$500"),$B37)</f>
        <v/>
      </c>
      <c r="G37" s="67">
        <f>COUNTIFS(INDIRECT("'"&amp;$B$33&amp;"'!"&amp;"$H$5:$H$500"),G$19,INDIRECT("'"&amp;$B$33&amp;"'!"&amp;"$D$5:$D$500"),$B37)</f>
        <v/>
      </c>
      <c r="H37" s="68">
        <f>IFERROR((F37+G37)/C37,0)</f>
        <v/>
      </c>
      <c r="J37" s="67">
        <f>COUNTIFS(INDIRECT("'"&amp;$B$33&amp;"'!"&amp;"$H$5:$H$500"),$D$19,INDIRECT("'"&amp;$B$33&amp;"'!"&amp;"$D$5:$D$500"),$B37, INDIRECT("'"&amp;$B$33&amp;"'!"&amp;"$G$5:$G$500"),J$19)+COUNTIFS(INDIRECT("'"&amp;$B$33&amp;"'!"&amp;"$H$5:$H$500"),$E$19,INDIRECT("'"&amp;$B$33&amp;"'!"&amp;"$D$5:$D$500"),$B37, INDIRECT("'"&amp;$B$33&amp;"'!"&amp;"$G$5:$G$500"),J$19)</f>
        <v/>
      </c>
      <c r="K37" s="67">
        <f>COUNTIFS(INDIRECT("'"&amp;$B$33&amp;"'!"&amp;"$H$5:$H$500"),$D$19,INDIRECT("'"&amp;$B$33&amp;"'!"&amp;"$D$5:$D$500"),$B37, INDIRECT("'"&amp;$B$33&amp;"'!"&amp;"$G$5:$G$500"),K$19)+COUNTIFS(INDIRECT("'"&amp;$B$33&amp;"'!"&amp;"$H$5:$H$500"),$E$19,INDIRECT("'"&amp;$B$33&amp;"'!"&amp;"$D$5:$D$500"),$B37, INDIRECT("'"&amp;$B$33&amp;"'!"&amp;"$G$5:$G$500"),K$19)</f>
        <v/>
      </c>
      <c r="L37" s="67">
        <f>COUNTIFS(INDIRECT("'"&amp;$B$33&amp;"'!"&amp;"$H$5:$H$500"),$D$19,INDIRECT("'"&amp;$B$33&amp;"'!"&amp;"$D$5:$D$500"),$B37, INDIRECT("'"&amp;$B$33&amp;"'!"&amp;"$G$5:$G$500"),L$19)+COUNTIFS(INDIRECT("'"&amp;$B$33&amp;"'!"&amp;"$H$5:$H$500"),$E$19,INDIRECT("'"&amp;$B$33&amp;"'!"&amp;"$D$5:$D$500"),$B37, INDIRECT("'"&amp;$B$33&amp;"'!"&amp;"$G$5:$G$500"),L$19)</f>
        <v/>
      </c>
      <c r="M37" s="67">
        <f>COUNTIFS(INDIRECT("'"&amp;$B$33&amp;"'!"&amp;"$H$5:$H$500"),$D$19,INDIRECT("'"&amp;$B$33&amp;"'!"&amp;"$D$5:$D$500"),$B37, INDIRECT("'"&amp;$B$33&amp;"'!"&amp;"$G$5:$G$500"),M$19)+COUNTIFS(INDIRECT("'"&amp;$B$33&amp;"'!"&amp;"$H$5:$H$500"),$E$19,INDIRECT("'"&amp;$B$33&amp;"'!"&amp;"$D$5:$D$500"),$B37, INDIRECT("'"&amp;$B$33&amp;"'!"&amp;"$G$5:$G$500"),M$19)</f>
        <v/>
      </c>
    </row>
    <row r="38" ht="15" customHeight="1">
      <c r="B38" s="45" t="inlineStr">
        <is>
          <t>Power - Interconnection &amp; Studies</t>
        </is>
      </c>
      <c r="C38" s="67">
        <f>SUM(D38:G38)</f>
        <v/>
      </c>
      <c r="D38" s="67">
        <f>COUNTIFS(INDIRECT("'"&amp;$B$33&amp;"'!"&amp;"$H$5:$H$500"),D$19,INDIRECT("'"&amp;$B$33&amp;"'!"&amp;"$D$5:$D$500"),$B38)</f>
        <v/>
      </c>
      <c r="E38" s="67">
        <f>COUNTIFS(INDIRECT("'"&amp;$B$33&amp;"'!"&amp;"$H$5:$H$500"),E$19,INDIRECT("'"&amp;$B$33&amp;"'!"&amp;"$D$5:$D$500"),$B38)</f>
        <v/>
      </c>
      <c r="F38" s="67">
        <f>COUNTIFS(INDIRECT("'"&amp;$B$33&amp;"'!"&amp;"$H$5:$H$500"),F$19,INDIRECT("'"&amp;$B$33&amp;"'!"&amp;"$D$5:$D$500"),$B38)</f>
        <v/>
      </c>
      <c r="G38" s="67">
        <f>COUNTIFS(INDIRECT("'"&amp;$B$33&amp;"'!"&amp;"$H$5:$H$500"),G$19,INDIRECT("'"&amp;$B$33&amp;"'!"&amp;"$D$5:$D$500"),$B38)</f>
        <v/>
      </c>
      <c r="H38" s="68">
        <f>IFERROR((F38+G38)/C38,0)</f>
        <v/>
      </c>
      <c r="J38" s="67">
        <f>COUNTIFS(INDIRECT("'"&amp;$B$33&amp;"'!"&amp;"$H$5:$H$500"),$D$19,INDIRECT("'"&amp;$B$33&amp;"'!"&amp;"$D$5:$D$500"),$B38, INDIRECT("'"&amp;$B$33&amp;"'!"&amp;"$G$5:$G$500"),J$19)+COUNTIFS(INDIRECT("'"&amp;$B$33&amp;"'!"&amp;"$H$5:$H$500"),$E$19,INDIRECT("'"&amp;$B$33&amp;"'!"&amp;"$D$5:$D$500"),$B38, INDIRECT("'"&amp;$B$33&amp;"'!"&amp;"$G$5:$G$500"),J$19)</f>
        <v/>
      </c>
      <c r="K38" s="67">
        <f>COUNTIFS(INDIRECT("'"&amp;$B$33&amp;"'!"&amp;"$H$5:$H$500"),$D$19,INDIRECT("'"&amp;$B$33&amp;"'!"&amp;"$D$5:$D$500"),$B38, INDIRECT("'"&amp;$B$33&amp;"'!"&amp;"$G$5:$G$500"),K$19)+COUNTIFS(INDIRECT("'"&amp;$B$33&amp;"'!"&amp;"$H$5:$H$500"),$E$19,INDIRECT("'"&amp;$B$33&amp;"'!"&amp;"$D$5:$D$500"),$B38, INDIRECT("'"&amp;$B$33&amp;"'!"&amp;"$G$5:$G$500"),K$19)</f>
        <v/>
      </c>
      <c r="L38" s="67">
        <f>COUNTIFS(INDIRECT("'"&amp;$B$33&amp;"'!"&amp;"$H$5:$H$500"),$D$19,INDIRECT("'"&amp;$B$33&amp;"'!"&amp;"$D$5:$D$500"),$B38, INDIRECT("'"&amp;$B$33&amp;"'!"&amp;"$G$5:$G$500"),L$19)+COUNTIFS(INDIRECT("'"&amp;$B$33&amp;"'!"&amp;"$H$5:$H$500"),$E$19,INDIRECT("'"&amp;$B$33&amp;"'!"&amp;"$D$5:$D$500"),$B38, INDIRECT("'"&amp;$B$33&amp;"'!"&amp;"$G$5:$G$500"),L$19)</f>
        <v/>
      </c>
      <c r="M38" s="67">
        <f>COUNTIFS(INDIRECT("'"&amp;$B$33&amp;"'!"&amp;"$H$5:$H$500"),$D$19,INDIRECT("'"&amp;$B$33&amp;"'!"&amp;"$D$5:$D$500"),$B38, INDIRECT("'"&amp;$B$33&amp;"'!"&amp;"$G$5:$G$500"),M$19)+COUNTIFS(INDIRECT("'"&amp;$B$33&amp;"'!"&amp;"$H$5:$H$500"),$E$19,INDIRECT("'"&amp;$B$33&amp;"'!"&amp;"$D$5:$D$500"),$B38, INDIRECT("'"&amp;$B$33&amp;"'!"&amp;"$G$5:$G$500"),M$19)</f>
        <v/>
      </c>
    </row>
    <row r="39" ht="15" customHeight="1">
      <c r="B39" s="45" t="inlineStr">
        <is>
          <t>Power - Substation &amp; Equipment</t>
        </is>
      </c>
      <c r="C39" s="67">
        <f>SUM(D39:G39)</f>
        <v/>
      </c>
      <c r="D39" s="67">
        <f>COUNTIFS(INDIRECT("'"&amp;$B$33&amp;"'!"&amp;"$H$5:$H$500"),D$19,INDIRECT("'"&amp;$B$33&amp;"'!"&amp;"$D$5:$D$500"),$B39)</f>
        <v/>
      </c>
      <c r="E39" s="67">
        <f>COUNTIFS(INDIRECT("'"&amp;$B$33&amp;"'!"&amp;"$H$5:$H$500"),E$19,INDIRECT("'"&amp;$B$33&amp;"'!"&amp;"$D$5:$D$500"),$B39)</f>
        <v/>
      </c>
      <c r="F39" s="67">
        <f>COUNTIFS(INDIRECT("'"&amp;$B$33&amp;"'!"&amp;"$H$5:$H$500"),F$19,INDIRECT("'"&amp;$B$33&amp;"'!"&amp;"$D$5:$D$500"),$B39)</f>
        <v/>
      </c>
      <c r="G39" s="67">
        <f>COUNTIFS(INDIRECT("'"&amp;$B$33&amp;"'!"&amp;"$H$5:$H$500"),G$19,INDIRECT("'"&amp;$B$33&amp;"'!"&amp;"$D$5:$D$500"),$B39)</f>
        <v/>
      </c>
      <c r="H39" s="68">
        <f>IFERROR((F39+G39)/C39,0)</f>
        <v/>
      </c>
      <c r="J39" s="67">
        <f>COUNTIFS(INDIRECT("'"&amp;$B$33&amp;"'!"&amp;"$H$5:$H$500"),$D$19,INDIRECT("'"&amp;$B$33&amp;"'!"&amp;"$D$5:$D$500"),$B39, INDIRECT("'"&amp;$B$33&amp;"'!"&amp;"$G$5:$G$500"),J$19)+COUNTIFS(INDIRECT("'"&amp;$B$33&amp;"'!"&amp;"$H$5:$H$500"),$E$19,INDIRECT("'"&amp;$B$33&amp;"'!"&amp;"$D$5:$D$500"),$B39, INDIRECT("'"&amp;$B$33&amp;"'!"&amp;"$G$5:$G$500"),J$19)</f>
        <v/>
      </c>
      <c r="K39" s="67">
        <f>COUNTIFS(INDIRECT("'"&amp;$B$33&amp;"'!"&amp;"$H$5:$H$500"),$D$19,INDIRECT("'"&amp;$B$33&amp;"'!"&amp;"$D$5:$D$500"),$B39, INDIRECT("'"&amp;$B$33&amp;"'!"&amp;"$G$5:$G$500"),K$19)+COUNTIFS(INDIRECT("'"&amp;$B$33&amp;"'!"&amp;"$H$5:$H$500"),$E$19,INDIRECT("'"&amp;$B$33&amp;"'!"&amp;"$D$5:$D$500"),$B39, INDIRECT("'"&amp;$B$33&amp;"'!"&amp;"$G$5:$G$500"),K$19)</f>
        <v/>
      </c>
      <c r="L39" s="67">
        <f>COUNTIFS(INDIRECT("'"&amp;$B$33&amp;"'!"&amp;"$H$5:$H$500"),$D$19,INDIRECT("'"&amp;$B$33&amp;"'!"&amp;"$D$5:$D$500"),$B39, INDIRECT("'"&amp;$B$33&amp;"'!"&amp;"$G$5:$G$500"),L$19)+COUNTIFS(INDIRECT("'"&amp;$B$33&amp;"'!"&amp;"$H$5:$H$500"),$E$19,INDIRECT("'"&amp;$B$33&amp;"'!"&amp;"$D$5:$D$500"),$B39, INDIRECT("'"&amp;$B$33&amp;"'!"&amp;"$G$5:$G$500"),L$19)</f>
        <v/>
      </c>
      <c r="M39" s="67">
        <f>COUNTIFS(INDIRECT("'"&amp;$B$33&amp;"'!"&amp;"$H$5:$H$500"),$D$19,INDIRECT("'"&amp;$B$33&amp;"'!"&amp;"$D$5:$D$500"),$B39, INDIRECT("'"&amp;$B$33&amp;"'!"&amp;"$G$5:$G$500"),M$19)+COUNTIFS(INDIRECT("'"&amp;$B$33&amp;"'!"&amp;"$H$5:$H$500"),$E$19,INDIRECT("'"&amp;$B$33&amp;"'!"&amp;"$D$5:$D$500"),$B39, INDIRECT("'"&amp;$B$33&amp;"'!"&amp;"$G$5:$G$500"),M$19)</f>
        <v/>
      </c>
    </row>
    <row r="40" ht="15" customHeight="1">
      <c r="A40" s="62" t="n"/>
      <c r="B40" s="45" t="inlineStr">
        <is>
          <t>Power - Commercial / ESA</t>
        </is>
      </c>
      <c r="C40" s="67">
        <f>SUM(D40:G40)</f>
        <v/>
      </c>
      <c r="D40" s="67">
        <f>COUNTIFS(INDIRECT("'"&amp;$B$33&amp;"'!"&amp;"$H$5:$H$500"),D$19,INDIRECT("'"&amp;$B$33&amp;"'!"&amp;"$D$5:$D$500"),$B40)</f>
        <v/>
      </c>
      <c r="E40" s="67">
        <f>COUNTIFS(INDIRECT("'"&amp;$B$33&amp;"'!"&amp;"$H$5:$H$500"),E$19,INDIRECT("'"&amp;$B$33&amp;"'!"&amp;"$D$5:$D$500"),$B40)</f>
        <v/>
      </c>
      <c r="F40" s="67">
        <f>COUNTIFS(INDIRECT("'"&amp;$B$33&amp;"'!"&amp;"$H$5:$H$500"),F$19,INDIRECT("'"&amp;$B$33&amp;"'!"&amp;"$D$5:$D$500"),$B40)</f>
        <v/>
      </c>
      <c r="G40" s="67">
        <f>COUNTIFS(INDIRECT("'"&amp;$B$33&amp;"'!"&amp;"$H$5:$H$500"),G$19,INDIRECT("'"&amp;$B$33&amp;"'!"&amp;"$D$5:$D$500"),$B40)</f>
        <v/>
      </c>
      <c r="H40" s="68">
        <f>IFERROR((F40+G40)/C40,0)</f>
        <v/>
      </c>
      <c r="I40" s="1" t="n"/>
      <c r="J40" s="67">
        <f>COUNTIFS(INDIRECT("'"&amp;$B$33&amp;"'!"&amp;"$H$5:$H$500"),$D$19,INDIRECT("'"&amp;$B$33&amp;"'!"&amp;"$D$5:$D$500"),$B40, INDIRECT("'"&amp;$B$33&amp;"'!"&amp;"$G$5:$G$500"),J$19)+COUNTIFS(INDIRECT("'"&amp;$B$33&amp;"'!"&amp;"$H$5:$H$500"),$E$19,INDIRECT("'"&amp;$B$33&amp;"'!"&amp;"$D$5:$D$500"),$B40, INDIRECT("'"&amp;$B$33&amp;"'!"&amp;"$G$5:$G$500"),J$19)</f>
        <v/>
      </c>
      <c r="K40" s="67">
        <f>COUNTIFS(INDIRECT("'"&amp;$B$33&amp;"'!"&amp;"$H$5:$H$500"),$D$19,INDIRECT("'"&amp;$B$33&amp;"'!"&amp;"$D$5:$D$500"),$B40, INDIRECT("'"&amp;$B$33&amp;"'!"&amp;"$G$5:$G$500"),K$19)+COUNTIFS(INDIRECT("'"&amp;$B$33&amp;"'!"&amp;"$H$5:$H$500"),$E$19,INDIRECT("'"&amp;$B$33&amp;"'!"&amp;"$D$5:$D$500"),$B40, INDIRECT("'"&amp;$B$33&amp;"'!"&amp;"$G$5:$G$500"),K$19)</f>
        <v/>
      </c>
      <c r="L40" s="67">
        <f>COUNTIFS(INDIRECT("'"&amp;$B$33&amp;"'!"&amp;"$H$5:$H$500"),$D$19,INDIRECT("'"&amp;$B$33&amp;"'!"&amp;"$D$5:$D$500"),$B40, INDIRECT("'"&amp;$B$33&amp;"'!"&amp;"$G$5:$G$500"),L$19)+COUNTIFS(INDIRECT("'"&amp;$B$33&amp;"'!"&amp;"$H$5:$H$500"),$E$19,INDIRECT("'"&amp;$B$33&amp;"'!"&amp;"$D$5:$D$500"),$B40, INDIRECT("'"&amp;$B$33&amp;"'!"&amp;"$G$5:$G$500"),L$19)</f>
        <v/>
      </c>
      <c r="M40" s="67">
        <f>COUNTIFS(INDIRECT("'"&amp;$B$33&amp;"'!"&amp;"$H$5:$H$500"),$D$19,INDIRECT("'"&amp;$B$33&amp;"'!"&amp;"$D$5:$D$500"),$B40, INDIRECT("'"&amp;$B$33&amp;"'!"&amp;"$G$5:$G$500"),M$19)+COUNTIFS(INDIRECT("'"&amp;$B$33&amp;"'!"&amp;"$H$5:$H$500"),$E$19,INDIRECT("'"&amp;$B$33&amp;"'!"&amp;"$D$5:$D$500"),$B40, INDIRECT("'"&amp;$B$33&amp;"'!"&amp;"$G$5:$G$500"),M$19)</f>
        <v/>
      </c>
    </row>
    <row r="41" ht="15" customHeight="1">
      <c r="A41" s="62" t="n"/>
      <c r="B41" s="45" t="inlineStr">
        <is>
          <t>Title, Liens &amp; Encumbrances</t>
        </is>
      </c>
      <c r="C41" s="67">
        <f>SUM(D41:G41)</f>
        <v/>
      </c>
      <c r="D41" s="67">
        <f>COUNTIFS(INDIRECT("'"&amp;$B$33&amp;"'!"&amp;"$H$5:$H$500"),D$19,INDIRECT("'"&amp;$B$33&amp;"'!"&amp;"$D$5:$D$500"),$B41)</f>
        <v/>
      </c>
      <c r="E41" s="67">
        <f>COUNTIFS(INDIRECT("'"&amp;$B$33&amp;"'!"&amp;"$H$5:$H$500"),E$19,INDIRECT("'"&amp;$B$33&amp;"'!"&amp;"$D$5:$D$500"),$B41)</f>
        <v/>
      </c>
      <c r="F41" s="67">
        <f>COUNTIFS(INDIRECT("'"&amp;$B$33&amp;"'!"&amp;"$H$5:$H$500"),F$19,INDIRECT("'"&amp;$B$33&amp;"'!"&amp;"$D$5:$D$500"),$B41)</f>
        <v/>
      </c>
      <c r="G41" s="67">
        <f>COUNTIFS(INDIRECT("'"&amp;$B$33&amp;"'!"&amp;"$H$5:$H$500"),G$19,INDIRECT("'"&amp;$B$33&amp;"'!"&amp;"$D$5:$D$500"),$B41)</f>
        <v/>
      </c>
      <c r="H41" s="68">
        <f>IFERROR((F41+G41)/C41,0)</f>
        <v/>
      </c>
      <c r="I41" s="1" t="n"/>
      <c r="J41" s="67">
        <f>COUNTIFS(INDIRECT("'"&amp;$B$33&amp;"'!"&amp;"$H$5:$H$500"),$D$19,INDIRECT("'"&amp;$B$33&amp;"'!"&amp;"$D$5:$D$500"),$B41, INDIRECT("'"&amp;$B$33&amp;"'!"&amp;"$G$5:$G$500"),J$19)+COUNTIFS(INDIRECT("'"&amp;$B$33&amp;"'!"&amp;"$H$5:$H$500"),$E$19,INDIRECT("'"&amp;$B$33&amp;"'!"&amp;"$D$5:$D$500"),$B41, INDIRECT("'"&amp;$B$33&amp;"'!"&amp;"$G$5:$G$500"),J$19)</f>
        <v/>
      </c>
      <c r="K41" s="67">
        <f>COUNTIFS(INDIRECT("'"&amp;$B$33&amp;"'!"&amp;"$H$5:$H$500"),$D$19,INDIRECT("'"&amp;$B$33&amp;"'!"&amp;"$D$5:$D$500"),$B41, INDIRECT("'"&amp;$B$33&amp;"'!"&amp;"$G$5:$G$500"),K$19)+COUNTIFS(INDIRECT("'"&amp;$B$33&amp;"'!"&amp;"$H$5:$H$500"),$E$19,INDIRECT("'"&amp;$B$33&amp;"'!"&amp;"$D$5:$D$500"),$B41, INDIRECT("'"&amp;$B$33&amp;"'!"&amp;"$G$5:$G$500"),K$19)</f>
        <v/>
      </c>
      <c r="L41" s="67">
        <f>COUNTIFS(INDIRECT("'"&amp;$B$33&amp;"'!"&amp;"$H$5:$H$500"),$D$19,INDIRECT("'"&amp;$B$33&amp;"'!"&amp;"$D$5:$D$500"),$B41, INDIRECT("'"&amp;$B$33&amp;"'!"&amp;"$G$5:$G$500"),L$19)+COUNTIFS(INDIRECT("'"&amp;$B$33&amp;"'!"&amp;"$H$5:$H$500"),$E$19,INDIRECT("'"&amp;$B$33&amp;"'!"&amp;"$D$5:$D$500"),$B41, INDIRECT("'"&amp;$B$33&amp;"'!"&amp;"$G$5:$G$500"),L$19)</f>
        <v/>
      </c>
      <c r="M41" s="67">
        <f>COUNTIFS(INDIRECT("'"&amp;$B$33&amp;"'!"&amp;"$H$5:$H$500"),$D$19,INDIRECT("'"&amp;$B$33&amp;"'!"&amp;"$D$5:$D$500"),$B41, INDIRECT("'"&amp;$B$33&amp;"'!"&amp;"$G$5:$G$500"),M$19)+COUNTIFS(INDIRECT("'"&amp;$B$33&amp;"'!"&amp;"$H$5:$H$500"),$E$19,INDIRECT("'"&amp;$B$33&amp;"'!"&amp;"$D$5:$D$500"),$B41, INDIRECT("'"&amp;$B$33&amp;"'!"&amp;"$G$5:$G$500"),M$19)</f>
        <v/>
      </c>
    </row>
    <row r="42" ht="15" customHeight="1">
      <c r="A42" s="62" t="n"/>
      <c r="B42" s="45" t="inlineStr">
        <is>
          <t>IDA / PILOT / Incentives</t>
        </is>
      </c>
      <c r="C42" s="67">
        <f>SUM(D42:G42)</f>
        <v/>
      </c>
      <c r="D42" s="67">
        <f>COUNTIFS(INDIRECT("'"&amp;$B$33&amp;"'!"&amp;"$H$5:$H$500"),D$19,INDIRECT("'"&amp;$B$33&amp;"'!"&amp;"$D$5:$D$500"),$B42)</f>
        <v/>
      </c>
      <c r="E42" s="67">
        <f>COUNTIFS(INDIRECT("'"&amp;$B$33&amp;"'!"&amp;"$H$5:$H$500"),E$19,INDIRECT("'"&amp;$B$33&amp;"'!"&amp;"$D$5:$D$500"),$B42)</f>
        <v/>
      </c>
      <c r="F42" s="67">
        <f>COUNTIFS(INDIRECT("'"&amp;$B$33&amp;"'!"&amp;"$H$5:$H$500"),F$19,INDIRECT("'"&amp;$B$33&amp;"'!"&amp;"$D$5:$D$500"),$B42)</f>
        <v/>
      </c>
      <c r="G42" s="67">
        <f>COUNTIFS(INDIRECT("'"&amp;$B$33&amp;"'!"&amp;"$H$5:$H$500"),G$19,INDIRECT("'"&amp;$B$33&amp;"'!"&amp;"$D$5:$D$500"),$B42)</f>
        <v/>
      </c>
      <c r="H42" s="68">
        <f>IFERROR((F42+G42)/C42,0)</f>
        <v/>
      </c>
      <c r="I42" s="1" t="n"/>
      <c r="J42" s="67">
        <f>COUNTIFS(INDIRECT("'"&amp;$B$33&amp;"'!"&amp;"$H$5:$H$500"),$D$19,INDIRECT("'"&amp;$B$33&amp;"'!"&amp;"$D$5:$D$500"),$B42, INDIRECT("'"&amp;$B$33&amp;"'!"&amp;"$G$5:$G$500"),J$19)+COUNTIFS(INDIRECT("'"&amp;$B$33&amp;"'!"&amp;"$H$5:$H$500"),$E$19,INDIRECT("'"&amp;$B$33&amp;"'!"&amp;"$D$5:$D$500"),$B42, INDIRECT("'"&amp;$B$33&amp;"'!"&amp;"$G$5:$G$500"),J$19)</f>
        <v/>
      </c>
      <c r="K42" s="67">
        <f>COUNTIFS(INDIRECT("'"&amp;$B$33&amp;"'!"&amp;"$H$5:$H$500"),$D$19,INDIRECT("'"&amp;$B$33&amp;"'!"&amp;"$D$5:$D$500"),$B42, INDIRECT("'"&amp;$B$33&amp;"'!"&amp;"$G$5:$G$500"),K$19)+COUNTIFS(INDIRECT("'"&amp;$B$33&amp;"'!"&amp;"$H$5:$H$500"),$E$19,INDIRECT("'"&amp;$B$33&amp;"'!"&amp;"$D$5:$D$500"),$B42, INDIRECT("'"&amp;$B$33&amp;"'!"&amp;"$G$5:$G$500"),K$19)</f>
        <v/>
      </c>
      <c r="L42" s="67">
        <f>COUNTIFS(INDIRECT("'"&amp;$B$33&amp;"'!"&amp;"$H$5:$H$500"),$D$19,INDIRECT("'"&amp;$B$33&amp;"'!"&amp;"$D$5:$D$500"),$B42, INDIRECT("'"&amp;$B$33&amp;"'!"&amp;"$G$5:$G$500"),L$19)+COUNTIFS(INDIRECT("'"&amp;$B$33&amp;"'!"&amp;"$H$5:$H$500"),$E$19,INDIRECT("'"&amp;$B$33&amp;"'!"&amp;"$D$5:$D$500"),$B42, INDIRECT("'"&amp;$B$33&amp;"'!"&amp;"$G$5:$G$500"),L$19)</f>
        <v/>
      </c>
      <c r="M42" s="67">
        <f>COUNTIFS(INDIRECT("'"&amp;$B$33&amp;"'!"&amp;"$H$5:$H$500"),$D$19,INDIRECT("'"&amp;$B$33&amp;"'!"&amp;"$D$5:$D$500"),$B42, INDIRECT("'"&amp;$B$33&amp;"'!"&amp;"$G$5:$G$500"),M$19)+COUNTIFS(INDIRECT("'"&amp;$B$33&amp;"'!"&amp;"$H$5:$H$500"),$E$19,INDIRECT("'"&amp;$B$33&amp;"'!"&amp;"$D$5:$D$500"),$B42, INDIRECT("'"&amp;$B$33&amp;"'!"&amp;"$G$5:$G$500"),M$19)</f>
        <v/>
      </c>
    </row>
    <row r="43" ht="15" customHeight="1">
      <c r="A43" s="62" t="n"/>
      <c r="B43" s="45" t="inlineStr">
        <is>
          <t>Land, Easements &amp; Access</t>
        </is>
      </c>
      <c r="C43" s="67">
        <f>SUM(D43:G43)</f>
        <v/>
      </c>
      <c r="D43" s="67">
        <f>COUNTIFS(INDIRECT("'"&amp;$B$33&amp;"'!"&amp;"$H$5:$H$500"),D$19,INDIRECT("'"&amp;$B$33&amp;"'!"&amp;"$D$5:$D$500"),$B43)</f>
        <v/>
      </c>
      <c r="E43" s="67">
        <f>COUNTIFS(INDIRECT("'"&amp;$B$33&amp;"'!"&amp;"$H$5:$H$500"),E$19,INDIRECT("'"&amp;$B$33&amp;"'!"&amp;"$D$5:$D$500"),$B43)</f>
        <v/>
      </c>
      <c r="F43" s="67">
        <f>COUNTIFS(INDIRECT("'"&amp;$B$33&amp;"'!"&amp;"$H$5:$H$500"),F$19,INDIRECT("'"&amp;$B$33&amp;"'!"&amp;"$D$5:$D$500"),$B43)</f>
        <v/>
      </c>
      <c r="G43" s="67">
        <f>COUNTIFS(INDIRECT("'"&amp;$B$33&amp;"'!"&amp;"$H$5:$H$500"),G$19,INDIRECT("'"&amp;$B$33&amp;"'!"&amp;"$D$5:$D$500"),$B43)</f>
        <v/>
      </c>
      <c r="H43" s="68">
        <f>IFERROR((F43+G43)/C43,0)</f>
        <v/>
      </c>
      <c r="I43" s="1" t="n"/>
      <c r="J43" s="67">
        <f>COUNTIFS(INDIRECT("'"&amp;$B$33&amp;"'!"&amp;"$H$5:$H$500"),$D$19,INDIRECT("'"&amp;$B$33&amp;"'!"&amp;"$D$5:$D$500"),$B43, INDIRECT("'"&amp;$B$33&amp;"'!"&amp;"$G$5:$G$500"),J$19)+COUNTIFS(INDIRECT("'"&amp;$B$33&amp;"'!"&amp;"$H$5:$H$500"),$E$19,INDIRECT("'"&amp;$B$33&amp;"'!"&amp;"$D$5:$D$500"),$B43, INDIRECT("'"&amp;$B$33&amp;"'!"&amp;"$G$5:$G$500"),J$19)</f>
        <v/>
      </c>
      <c r="K43" s="67">
        <f>COUNTIFS(INDIRECT("'"&amp;$B$33&amp;"'!"&amp;"$H$5:$H$500"),$D$19,INDIRECT("'"&amp;$B$33&amp;"'!"&amp;"$D$5:$D$500"),$B43, INDIRECT("'"&amp;$B$33&amp;"'!"&amp;"$G$5:$G$500"),K$19)+COUNTIFS(INDIRECT("'"&amp;$B$33&amp;"'!"&amp;"$H$5:$H$500"),$E$19,INDIRECT("'"&amp;$B$33&amp;"'!"&amp;"$D$5:$D$500"),$B43, INDIRECT("'"&amp;$B$33&amp;"'!"&amp;"$G$5:$G$500"),K$19)</f>
        <v/>
      </c>
      <c r="L43" s="67">
        <f>COUNTIFS(INDIRECT("'"&amp;$B$33&amp;"'!"&amp;"$H$5:$H$500"),$D$19,INDIRECT("'"&amp;$B$33&amp;"'!"&amp;"$D$5:$D$500"),$B43, INDIRECT("'"&amp;$B$33&amp;"'!"&amp;"$G$5:$G$500"),L$19)+COUNTIFS(INDIRECT("'"&amp;$B$33&amp;"'!"&amp;"$H$5:$H$500"),$E$19,INDIRECT("'"&amp;$B$33&amp;"'!"&amp;"$D$5:$D$500"),$B43, INDIRECT("'"&amp;$B$33&amp;"'!"&amp;"$G$5:$G$500"),L$19)</f>
        <v/>
      </c>
      <c r="M43" s="67">
        <f>COUNTIFS(INDIRECT("'"&amp;$B$33&amp;"'!"&amp;"$H$5:$H$500"),$D$19,INDIRECT("'"&amp;$B$33&amp;"'!"&amp;"$D$5:$D$500"),$B43, INDIRECT("'"&amp;$B$33&amp;"'!"&amp;"$G$5:$G$500"),M$19)+COUNTIFS(INDIRECT("'"&amp;$B$33&amp;"'!"&amp;"$H$5:$H$500"),$E$19,INDIRECT("'"&amp;$B$33&amp;"'!"&amp;"$D$5:$D$500"),$B43, INDIRECT("'"&amp;$B$33&amp;"'!"&amp;"$G$5:$G$500"),M$19)</f>
        <v/>
      </c>
    </row>
    <row r="44" ht="15" customHeight="1">
      <c r="A44" s="62" t="n"/>
      <c r="B44" s="45" t="inlineStr">
        <is>
          <t>Environmental &amp; Aquifer</t>
        </is>
      </c>
      <c r="C44" s="67">
        <f>SUM(D44:G44)</f>
        <v/>
      </c>
      <c r="D44" s="67">
        <f>COUNTIFS(INDIRECT("'"&amp;$B$33&amp;"'!"&amp;"$H$5:$H$500"),D$19,INDIRECT("'"&amp;$B$33&amp;"'!"&amp;"$D$5:$D$500"),$B44)</f>
        <v/>
      </c>
      <c r="E44" s="67">
        <f>COUNTIFS(INDIRECT("'"&amp;$B$33&amp;"'!"&amp;"$H$5:$H$500"),E$19,INDIRECT("'"&amp;$B$33&amp;"'!"&amp;"$D$5:$D$500"),$B44)</f>
        <v/>
      </c>
      <c r="F44" s="67">
        <f>COUNTIFS(INDIRECT("'"&amp;$B$33&amp;"'!"&amp;"$H$5:$H$500"),F$19,INDIRECT("'"&amp;$B$33&amp;"'!"&amp;"$D$5:$D$500"),$B44)</f>
        <v/>
      </c>
      <c r="G44" s="67">
        <f>COUNTIFS(INDIRECT("'"&amp;$B$33&amp;"'!"&amp;"$H$5:$H$500"),G$19,INDIRECT("'"&amp;$B$33&amp;"'!"&amp;"$D$5:$D$500"),$B44)</f>
        <v/>
      </c>
      <c r="H44" s="68">
        <f>IFERROR((F44+G44)/C44,0)</f>
        <v/>
      </c>
      <c r="I44" s="1" t="n"/>
      <c r="J44" s="67">
        <f>COUNTIFS(INDIRECT("'"&amp;$B$33&amp;"'!"&amp;"$H$5:$H$500"),$D$19,INDIRECT("'"&amp;$B$33&amp;"'!"&amp;"$D$5:$D$500"),$B44, INDIRECT("'"&amp;$B$33&amp;"'!"&amp;"$G$5:$G$500"),J$19)+COUNTIFS(INDIRECT("'"&amp;$B$33&amp;"'!"&amp;"$H$5:$H$500"),$E$19,INDIRECT("'"&amp;$B$33&amp;"'!"&amp;"$D$5:$D$500"),$B44, INDIRECT("'"&amp;$B$33&amp;"'!"&amp;"$G$5:$G$500"),J$19)</f>
        <v/>
      </c>
      <c r="K44" s="67">
        <f>COUNTIFS(INDIRECT("'"&amp;$B$33&amp;"'!"&amp;"$H$5:$H$500"),$D$19,INDIRECT("'"&amp;$B$33&amp;"'!"&amp;"$D$5:$D$500"),$B44, INDIRECT("'"&amp;$B$33&amp;"'!"&amp;"$G$5:$G$500"),K$19)+COUNTIFS(INDIRECT("'"&amp;$B$33&amp;"'!"&amp;"$H$5:$H$500"),$E$19,INDIRECT("'"&amp;$B$33&amp;"'!"&amp;"$D$5:$D$500"),$B44, INDIRECT("'"&amp;$B$33&amp;"'!"&amp;"$G$5:$G$500"),K$19)</f>
        <v/>
      </c>
      <c r="L44" s="67">
        <f>COUNTIFS(INDIRECT("'"&amp;$B$33&amp;"'!"&amp;"$H$5:$H$500"),$D$19,INDIRECT("'"&amp;$B$33&amp;"'!"&amp;"$D$5:$D$500"),$B44, INDIRECT("'"&amp;$B$33&amp;"'!"&amp;"$G$5:$G$500"),L$19)+COUNTIFS(INDIRECT("'"&amp;$B$33&amp;"'!"&amp;"$H$5:$H$500"),$E$19,INDIRECT("'"&amp;$B$33&amp;"'!"&amp;"$D$5:$D$500"),$B44, INDIRECT("'"&amp;$B$33&amp;"'!"&amp;"$G$5:$G$500"),L$19)</f>
        <v/>
      </c>
      <c r="M44" s="67">
        <f>COUNTIFS(INDIRECT("'"&amp;$B$33&amp;"'!"&amp;"$H$5:$H$500"),$D$19,INDIRECT("'"&amp;$B$33&amp;"'!"&amp;"$D$5:$D$500"),$B44, INDIRECT("'"&amp;$B$33&amp;"'!"&amp;"$G$5:$G$500"),M$19)+COUNTIFS(INDIRECT("'"&amp;$B$33&amp;"'!"&amp;"$H$5:$H$500"),$E$19,INDIRECT("'"&amp;$B$33&amp;"'!"&amp;"$D$5:$D$500"),$B44, INDIRECT("'"&amp;$B$33&amp;"'!"&amp;"$G$5:$G$500"),M$19)</f>
        <v/>
      </c>
    </row>
    <row r="45" ht="15" customHeight="1">
      <c r="A45" s="62" t="n"/>
      <c r="B45" s="45" t="inlineStr">
        <is>
          <t>Geotech &amp; Conversion</t>
        </is>
      </c>
      <c r="C45" s="67">
        <f>SUM(D45:G45)</f>
        <v/>
      </c>
      <c r="D45" s="67">
        <f>COUNTIFS(INDIRECT("'"&amp;$B$33&amp;"'!"&amp;"$H$5:$H$500"),D$19,INDIRECT("'"&amp;$B$33&amp;"'!"&amp;"$D$5:$D$500"),$B45)</f>
        <v/>
      </c>
      <c r="E45" s="67">
        <f>COUNTIFS(INDIRECT("'"&amp;$B$33&amp;"'!"&amp;"$H$5:$H$500"),E$19,INDIRECT("'"&amp;$B$33&amp;"'!"&amp;"$D$5:$D$500"),$B45)</f>
        <v/>
      </c>
      <c r="F45" s="67">
        <f>COUNTIFS(INDIRECT("'"&amp;$B$33&amp;"'!"&amp;"$H$5:$H$500"),F$19,INDIRECT("'"&amp;$B$33&amp;"'!"&amp;"$D$5:$D$500"),$B45)</f>
        <v/>
      </c>
      <c r="G45" s="67">
        <f>COUNTIFS(INDIRECT("'"&amp;$B$33&amp;"'!"&amp;"$H$5:$H$500"),G$19,INDIRECT("'"&amp;$B$33&amp;"'!"&amp;"$D$5:$D$500"),$B45)</f>
        <v/>
      </c>
      <c r="H45" s="68">
        <f>IFERROR((F45+G45)/C45,0)</f>
        <v/>
      </c>
      <c r="I45" s="1" t="n"/>
      <c r="J45" s="67">
        <f>COUNTIFS(INDIRECT("'"&amp;$B$33&amp;"'!"&amp;"$H$5:$H$500"),$D$19,INDIRECT("'"&amp;$B$33&amp;"'!"&amp;"$D$5:$D$500"),$B45, INDIRECT("'"&amp;$B$33&amp;"'!"&amp;"$G$5:$G$500"),J$19)+COUNTIFS(INDIRECT("'"&amp;$B$33&amp;"'!"&amp;"$H$5:$H$500"),$E$19,INDIRECT("'"&amp;$B$33&amp;"'!"&amp;"$D$5:$D$500"),$B45, INDIRECT("'"&amp;$B$33&amp;"'!"&amp;"$G$5:$G$500"),J$19)</f>
        <v/>
      </c>
      <c r="K45" s="67">
        <f>COUNTIFS(INDIRECT("'"&amp;$B$33&amp;"'!"&amp;"$H$5:$H$500"),$D$19,INDIRECT("'"&amp;$B$33&amp;"'!"&amp;"$D$5:$D$500"),$B45, INDIRECT("'"&amp;$B$33&amp;"'!"&amp;"$G$5:$G$500"),K$19)+COUNTIFS(INDIRECT("'"&amp;$B$33&amp;"'!"&amp;"$H$5:$H$500"),$E$19,INDIRECT("'"&amp;$B$33&amp;"'!"&amp;"$D$5:$D$500"),$B45, INDIRECT("'"&amp;$B$33&amp;"'!"&amp;"$G$5:$G$500"),K$19)</f>
        <v/>
      </c>
      <c r="L45" s="67">
        <f>COUNTIFS(INDIRECT("'"&amp;$B$33&amp;"'!"&amp;"$H$5:$H$500"),$D$19,INDIRECT("'"&amp;$B$33&amp;"'!"&amp;"$D$5:$D$500"),$B45, INDIRECT("'"&amp;$B$33&amp;"'!"&amp;"$G$5:$G$500"),L$19)+COUNTIFS(INDIRECT("'"&amp;$B$33&amp;"'!"&amp;"$H$5:$H$500"),$E$19,INDIRECT("'"&amp;$B$33&amp;"'!"&amp;"$D$5:$D$500"),$B45, INDIRECT("'"&amp;$B$33&amp;"'!"&amp;"$G$5:$G$500"),L$19)</f>
        <v/>
      </c>
      <c r="M45" s="67">
        <f>COUNTIFS(INDIRECT("'"&amp;$B$33&amp;"'!"&amp;"$H$5:$H$500"),$D$19,INDIRECT("'"&amp;$B$33&amp;"'!"&amp;"$D$5:$D$500"),$B45, INDIRECT("'"&amp;$B$33&amp;"'!"&amp;"$G$5:$G$500"),M$19)+COUNTIFS(INDIRECT("'"&amp;$B$33&amp;"'!"&amp;"$H$5:$H$500"),$E$19,INDIRECT("'"&amp;$B$33&amp;"'!"&amp;"$D$5:$D$500"),$B45, INDIRECT("'"&amp;$B$33&amp;"'!"&amp;"$G$5:$G$500"),M$19)</f>
        <v/>
      </c>
    </row>
    <row r="46" ht="15" customHeight="1">
      <c r="A46" s="62" t="n"/>
      <c r="B46" s="45" t="inlineStr">
        <is>
          <t>Zoning, Permitting &amp; Air</t>
        </is>
      </c>
      <c r="C46" s="67">
        <f>SUM(D46:G46)</f>
        <v/>
      </c>
      <c r="D46" s="67">
        <f>COUNTIFS(INDIRECT("'"&amp;$B$33&amp;"'!"&amp;"$H$5:$H$500"),D$19,INDIRECT("'"&amp;$B$33&amp;"'!"&amp;"$D$5:$D$500"),$B46)</f>
        <v/>
      </c>
      <c r="E46" s="67">
        <f>COUNTIFS(INDIRECT("'"&amp;$B$33&amp;"'!"&amp;"$H$5:$H$500"),E$19,INDIRECT("'"&amp;$B$33&amp;"'!"&amp;"$D$5:$D$500"),$B46)</f>
        <v/>
      </c>
      <c r="F46" s="67">
        <f>COUNTIFS(INDIRECT("'"&amp;$B$33&amp;"'!"&amp;"$H$5:$H$500"),F$19,INDIRECT("'"&amp;$B$33&amp;"'!"&amp;"$D$5:$D$500"),$B46)</f>
        <v/>
      </c>
      <c r="G46" s="67">
        <f>COUNTIFS(INDIRECT("'"&amp;$B$33&amp;"'!"&amp;"$H$5:$H$500"),G$19,INDIRECT("'"&amp;$B$33&amp;"'!"&amp;"$D$5:$D$500"),$B46)</f>
        <v/>
      </c>
      <c r="H46" s="68">
        <f>IFERROR((F46+G46)/C46,0)</f>
        <v/>
      </c>
      <c r="I46" s="1" t="n"/>
      <c r="J46" s="67">
        <f>COUNTIFS(INDIRECT("'"&amp;$B$33&amp;"'!"&amp;"$H$5:$H$500"),$D$19,INDIRECT("'"&amp;$B$33&amp;"'!"&amp;"$D$5:$D$500"),$B46, INDIRECT("'"&amp;$B$33&amp;"'!"&amp;"$G$5:$G$500"),J$19)+COUNTIFS(INDIRECT("'"&amp;$B$33&amp;"'!"&amp;"$H$5:$H$500"),$E$19,INDIRECT("'"&amp;$B$33&amp;"'!"&amp;"$D$5:$D$500"),$B46, INDIRECT("'"&amp;$B$33&amp;"'!"&amp;"$G$5:$G$500"),J$19)</f>
        <v/>
      </c>
      <c r="K46" s="67">
        <f>COUNTIFS(INDIRECT("'"&amp;$B$33&amp;"'!"&amp;"$H$5:$H$500"),$D$19,INDIRECT("'"&amp;$B$33&amp;"'!"&amp;"$D$5:$D$500"),$B46, INDIRECT("'"&amp;$B$33&amp;"'!"&amp;"$G$5:$G$500"),K$19)+COUNTIFS(INDIRECT("'"&amp;$B$33&amp;"'!"&amp;"$H$5:$H$500"),$E$19,INDIRECT("'"&amp;$B$33&amp;"'!"&amp;"$D$5:$D$500"),$B46, INDIRECT("'"&amp;$B$33&amp;"'!"&amp;"$G$5:$G$500"),K$19)</f>
        <v/>
      </c>
      <c r="L46" s="67">
        <f>COUNTIFS(INDIRECT("'"&amp;$B$33&amp;"'!"&amp;"$H$5:$H$500"),$D$19,INDIRECT("'"&amp;$B$33&amp;"'!"&amp;"$D$5:$D$500"),$B46, INDIRECT("'"&amp;$B$33&amp;"'!"&amp;"$G$5:$G$500"),L$19)+COUNTIFS(INDIRECT("'"&amp;$B$33&amp;"'!"&amp;"$H$5:$H$500"),$E$19,INDIRECT("'"&amp;$B$33&amp;"'!"&amp;"$D$5:$D$500"),$B46, INDIRECT("'"&amp;$B$33&amp;"'!"&amp;"$G$5:$G$500"),L$19)</f>
        <v/>
      </c>
      <c r="M46" s="67">
        <f>COUNTIFS(INDIRECT("'"&amp;$B$33&amp;"'!"&amp;"$H$5:$H$500"),$D$19,INDIRECT("'"&amp;$B$33&amp;"'!"&amp;"$D$5:$D$500"),$B46, INDIRECT("'"&amp;$B$33&amp;"'!"&amp;"$G$5:$G$500"),M$19)+COUNTIFS(INDIRECT("'"&amp;$B$33&amp;"'!"&amp;"$H$5:$H$500"),$E$19,INDIRECT("'"&amp;$B$33&amp;"'!"&amp;"$D$5:$D$500"),$B46, INDIRECT("'"&amp;$B$33&amp;"'!"&amp;"$G$5:$G$500"),M$19)</f>
        <v/>
      </c>
    </row>
    <row r="47" ht="15" customHeight="1">
      <c r="A47" s="62" t="n"/>
      <c r="B47" s="16" t="inlineStr">
        <is>
          <t>Total</t>
        </is>
      </c>
      <c r="C47" s="73">
        <f>SUM(C37:C46)</f>
        <v/>
      </c>
      <c r="D47" s="73">
        <f>SUM(D37:D46)</f>
        <v/>
      </c>
      <c r="E47" s="73">
        <f>SUM(E37:E46)</f>
        <v/>
      </c>
      <c r="F47" s="73">
        <f>SUM(F37:F46)</f>
        <v/>
      </c>
      <c r="G47" s="73">
        <f>SUM(G37:G46)</f>
        <v/>
      </c>
      <c r="H47" s="74">
        <f>IFERROR((F47+G47)/C47,0)</f>
        <v/>
      </c>
      <c r="I47" s="4" t="n"/>
      <c r="J47" s="73">
        <f>SUM(J37:J46)</f>
        <v/>
      </c>
      <c r="K47" s="73">
        <f>SUM(K37:K46)</f>
        <v/>
      </c>
      <c r="L47" s="73">
        <f>SUM(L37:L46)</f>
        <v/>
      </c>
      <c r="M47" s="73">
        <f>SUM(M37:M46)</f>
        <v/>
      </c>
    </row>
    <row r="48">
      <c r="J48" s="4" t="n"/>
      <c r="K48" s="4" t="n"/>
    </row>
    <row r="49">
      <c r="J49" s="4" t="n"/>
      <c r="K49" s="4" t="n"/>
    </row>
    <row r="50" ht="15" customHeight="1" thickBot="1">
      <c r="A50" s="62" t="inlineStr">
        <is>
          <t>x</t>
        </is>
      </c>
      <c r="B50" s="65" t="inlineStr">
        <is>
          <t>Advisor B</t>
        </is>
      </c>
      <c r="C50" s="37" t="n"/>
      <c r="D50" s="37" t="n"/>
      <c r="E50" s="37" t="n"/>
      <c r="F50" s="37" t="n"/>
      <c r="G50" s="37" t="n"/>
      <c r="H50" s="37" t="n"/>
      <c r="I50" s="37" t="n"/>
      <c r="J50" s="37" t="n"/>
      <c r="K50" s="37" t="n"/>
      <c r="L50" s="37" t="n"/>
      <c r="M50" s="38" t="n"/>
    </row>
    <row r="51" ht="5.15" customHeight="1">
      <c r="B51" s="26" t="n"/>
      <c r="C51" s="27" t="n"/>
      <c r="D51" s="27" t="n"/>
      <c r="E51" s="27" t="n"/>
      <c r="F51" s="27" t="n"/>
      <c r="G51" s="27" t="n"/>
      <c r="H51" s="27" t="n"/>
      <c r="I51" s="27" t="n"/>
      <c r="J51" s="27" t="n"/>
      <c r="K51" s="27" t="n"/>
      <c r="L51" s="18" t="n"/>
    </row>
    <row r="52" ht="15" customHeight="1">
      <c r="J52" s="12">
        <f>+$J$7</f>
        <v/>
      </c>
      <c r="K52" s="12" t="n"/>
      <c r="L52" s="12" t="n"/>
      <c r="M52" s="12" t="n"/>
    </row>
    <row r="53" ht="15" customHeight="1">
      <c r="B53" s="5" t="n"/>
      <c r="C53" s="13" t="inlineStr">
        <is>
          <t>Total</t>
        </is>
      </c>
      <c r="D53" s="14" t="inlineStr">
        <is>
          <t>Open</t>
        </is>
      </c>
      <c r="E53" s="14" t="inlineStr">
        <is>
          <t>Partial</t>
        </is>
      </c>
      <c r="F53" s="14" t="inlineStr">
        <is>
          <t>Closed</t>
        </is>
      </c>
      <c r="G53" s="14" t="inlineStr">
        <is>
          <t>N/A</t>
        </is>
      </c>
      <c r="H53" s="15" t="inlineStr">
        <is>
          <t>% Closed</t>
        </is>
      </c>
      <c r="I53" s="5" t="n"/>
      <c r="J53" s="17" t="inlineStr">
        <is>
          <t>Highest</t>
        </is>
      </c>
      <c r="K53" s="17" t="inlineStr">
        <is>
          <t>High</t>
        </is>
      </c>
      <c r="L53" s="17" t="inlineStr">
        <is>
          <t>Medium</t>
        </is>
      </c>
      <c r="M53" s="17" t="inlineStr">
        <is>
          <t>Low</t>
        </is>
      </c>
    </row>
    <row r="54" ht="15" customHeight="1">
      <c r="B54" s="45" t="inlineStr">
        <is>
          <t>[Input category here]</t>
        </is>
      </c>
      <c r="C54" s="67">
        <f>SUM(D54:G54)</f>
        <v/>
      </c>
      <c r="D54" s="67">
        <f>COUNTIFS(INDIRECT("'"&amp;$B$50&amp;"'!"&amp;"$i$5:$i$5000"),D$19,INDIRECT("'"&amp;$B$50&amp;"'!"&amp;"$D$5:$D$5000"),$B54)</f>
        <v/>
      </c>
      <c r="E54" s="67">
        <f>COUNTIFS(INDIRECT("'"&amp;$B$50&amp;"'!"&amp;"$i$5:$i$5000"),E$19,INDIRECT("'"&amp;$B$50&amp;"'!"&amp;"$D$5:$D$5000"),$B54)</f>
        <v/>
      </c>
      <c r="F54" s="67">
        <f>COUNTIFS(INDIRECT("'"&amp;$B$50&amp;"'!"&amp;"$i$5:$i$5000"),F$19,INDIRECT("'"&amp;$B$50&amp;"'!"&amp;"$D$5:$D$5000"),$B54)</f>
        <v/>
      </c>
      <c r="G54" s="67">
        <f>COUNTIFS(INDIRECT("'"&amp;$B$50&amp;"'!"&amp;"$i$5:$i$5000"),G$19,INDIRECT("'"&amp;$B$50&amp;"'!"&amp;"$D$5:$D$5000"),$B54)</f>
        <v/>
      </c>
      <c r="H54" s="68">
        <f>IFERROR((F54+G54)/C54,0)</f>
        <v/>
      </c>
      <c r="J54" s="67">
        <f>COUNTIFS(INDIRECT("'"&amp;$B$50&amp;"'!"&amp;"$i$5:$i$5000"),$D$19,INDIRECT("'"&amp;$B$50&amp;"'!"&amp;"$D$5:$D$5000"),$B54, INDIRECT("'"&amp;$B$50&amp;"'!"&amp;"$h$5:$h$5000"),J$19)+COUNTIFS(INDIRECT("'"&amp;$B$50&amp;"'!"&amp;"$i$5:$i$5000"),$E$19,INDIRECT("'"&amp;$B$50&amp;"'!"&amp;"$D$5:$D$5000"),$B54, INDIRECT("'"&amp;$B$50&amp;"'!"&amp;"$h$5:$h$5000"),J$19)</f>
        <v/>
      </c>
      <c r="K54" s="67">
        <f>COUNTIFS(INDIRECT("'"&amp;$B$50&amp;"'!"&amp;"$i$5:$i$5000"),$D$19,INDIRECT("'"&amp;$B$50&amp;"'!"&amp;"$D$5:$D$5000"),$B54, INDIRECT("'"&amp;$B$50&amp;"'!"&amp;"$h$5:$h$5000"),K$19)+COUNTIFS(INDIRECT("'"&amp;$B$50&amp;"'!"&amp;"$i$5:$i$5000"),$E$19,INDIRECT("'"&amp;$B$50&amp;"'!"&amp;"$D$5:$D$5000"),$B54, INDIRECT("'"&amp;$B$50&amp;"'!"&amp;"$h$5:$h$5000"),K$19)</f>
        <v/>
      </c>
      <c r="L54" s="67">
        <f>COUNTIFS(INDIRECT("'"&amp;$B$50&amp;"'!"&amp;"$i$5:$i$5000"),$D$19,INDIRECT("'"&amp;$B$50&amp;"'!"&amp;"$D$5:$D$5000"),$B54, INDIRECT("'"&amp;$B$50&amp;"'!"&amp;"$h$5:$h$5000"),L$19)+COUNTIFS(INDIRECT("'"&amp;$B$50&amp;"'!"&amp;"$i$5:$i$5000"),$E$19,INDIRECT("'"&amp;$B$50&amp;"'!"&amp;"$D$5:$D$5000"),$B54, INDIRECT("'"&amp;$B$50&amp;"'!"&amp;"$h$5:$h$5000"),L$19)</f>
        <v/>
      </c>
      <c r="M54" s="67">
        <f>COUNTIFS(INDIRECT("'"&amp;$B$50&amp;"'!"&amp;"$i$5:$i$5000"),$D$19,INDIRECT("'"&amp;$B$50&amp;"'!"&amp;"$D$5:$D$5000"),$B54, INDIRECT("'"&amp;$B$50&amp;"'!"&amp;"$h$5:$h$5000"),M$19)+COUNTIFS(INDIRECT("'"&amp;$B$50&amp;"'!"&amp;"$i$5:$i$5000"),$E$19,INDIRECT("'"&amp;$B$50&amp;"'!"&amp;"$D$5:$D$5000"),$B54, INDIRECT("'"&amp;$B$50&amp;"'!"&amp;"$h$5:$h$5000"),M$19)</f>
        <v/>
      </c>
    </row>
    <row r="55" ht="15" customHeight="1">
      <c r="A55" s="62" t="n"/>
      <c r="B55" s="45" t="inlineStr">
        <is>
          <t>[Input category here]</t>
        </is>
      </c>
      <c r="C55" s="67">
        <f>SUM(D55:G55)</f>
        <v/>
      </c>
      <c r="D55" s="67">
        <f>COUNTIFS(INDIRECT("'"&amp;$B$50&amp;"'!"&amp;"$i$5:$i$5000"),D$19,INDIRECT("'"&amp;$B$50&amp;"'!"&amp;"$D$5:$D$5000"),$B55)</f>
        <v/>
      </c>
      <c r="E55" s="67">
        <f>COUNTIFS(INDIRECT("'"&amp;$B$50&amp;"'!"&amp;"$i$5:$i$5000"),E$19,INDIRECT("'"&amp;$B$50&amp;"'!"&amp;"$D$5:$D$5000"),$B55)</f>
        <v/>
      </c>
      <c r="F55" s="67">
        <f>COUNTIFS(INDIRECT("'"&amp;$B$50&amp;"'!"&amp;"$i$5:$i$5000"),F$19,INDIRECT("'"&amp;$B$50&amp;"'!"&amp;"$D$5:$D$5000"),$B55)</f>
        <v/>
      </c>
      <c r="G55" s="67">
        <f>COUNTIFS(INDIRECT("'"&amp;$B$50&amp;"'!"&amp;"$i$5:$i$5000"),G$19,INDIRECT("'"&amp;$B$50&amp;"'!"&amp;"$D$5:$D$5000"),$B55)</f>
        <v/>
      </c>
      <c r="H55" s="68">
        <f>IFERROR((F55+G55)/C55,0)</f>
        <v/>
      </c>
      <c r="J55" s="67">
        <f>COUNTIFS(INDIRECT("'"&amp;$B$50&amp;"'!"&amp;"$i$5:$i$5000"),$D$19,INDIRECT("'"&amp;$B$50&amp;"'!"&amp;"$D$5:$D$5000"),$B55, INDIRECT("'"&amp;$B$50&amp;"'!"&amp;"$h$5:$h$5000"),J$19)+COUNTIFS(INDIRECT("'"&amp;$B$50&amp;"'!"&amp;"$i$5:$i$5000"),$E$19,INDIRECT("'"&amp;$B$50&amp;"'!"&amp;"$D$5:$D$5000"),$B55, INDIRECT("'"&amp;$B$50&amp;"'!"&amp;"$h$5:$h$5000"),J$19)</f>
        <v/>
      </c>
      <c r="K55" s="67">
        <f>COUNTIFS(INDIRECT("'"&amp;$B$50&amp;"'!"&amp;"$i$5:$i$5000"),$D$19,INDIRECT("'"&amp;$B$50&amp;"'!"&amp;"$D$5:$D$5000"),$B55, INDIRECT("'"&amp;$B$50&amp;"'!"&amp;"$h$5:$h$5000"),K$19)+COUNTIFS(INDIRECT("'"&amp;$B$50&amp;"'!"&amp;"$i$5:$i$5000"),$E$19,INDIRECT("'"&amp;$B$50&amp;"'!"&amp;"$D$5:$D$5000"),$B55, INDIRECT("'"&amp;$B$50&amp;"'!"&amp;"$h$5:$h$5000"),K$19)</f>
        <v/>
      </c>
      <c r="L55" s="67">
        <f>COUNTIFS(INDIRECT("'"&amp;$B$50&amp;"'!"&amp;"$i$5:$i$5000"),$D$19,INDIRECT("'"&amp;$B$50&amp;"'!"&amp;"$D$5:$D$5000"),$B55, INDIRECT("'"&amp;$B$50&amp;"'!"&amp;"$h$5:$h$5000"),L$19)+COUNTIFS(INDIRECT("'"&amp;$B$50&amp;"'!"&amp;"$i$5:$i$5000"),$E$19,INDIRECT("'"&amp;$B$50&amp;"'!"&amp;"$D$5:$D$5000"),$B55, INDIRECT("'"&amp;$B$50&amp;"'!"&amp;"$h$5:$h$5000"),L$19)</f>
        <v/>
      </c>
      <c r="M55" s="67">
        <f>COUNTIFS(INDIRECT("'"&amp;$B$50&amp;"'!"&amp;"$i$5:$i$5000"),$D$19,INDIRECT("'"&amp;$B$50&amp;"'!"&amp;"$D$5:$D$5000"),$B55, INDIRECT("'"&amp;$B$50&amp;"'!"&amp;"$h$5:$h$5000"),M$19)+COUNTIFS(INDIRECT("'"&amp;$B$50&amp;"'!"&amp;"$i$5:$i$5000"),$E$19,INDIRECT("'"&amp;$B$50&amp;"'!"&amp;"$D$5:$D$5000"),$B55, INDIRECT("'"&amp;$B$50&amp;"'!"&amp;"$h$5:$h$5000"),M$19)</f>
        <v/>
      </c>
    </row>
    <row r="56" ht="15" customHeight="1">
      <c r="A56" s="62" t="n"/>
      <c r="B56" s="45" t="inlineStr">
        <is>
          <t>[Input category here]</t>
        </is>
      </c>
      <c r="C56" s="67">
        <f>SUM(D56:G56)</f>
        <v/>
      </c>
      <c r="D56" s="67">
        <f>COUNTIFS(INDIRECT("'"&amp;$B$50&amp;"'!"&amp;"$i$5:$i$5000"),D$19,INDIRECT("'"&amp;$B$50&amp;"'!"&amp;"$D$5:$D$5000"),$B56)</f>
        <v/>
      </c>
      <c r="E56" s="67">
        <f>COUNTIFS(INDIRECT("'"&amp;$B$50&amp;"'!"&amp;"$i$5:$i$5000"),E$19,INDIRECT("'"&amp;$B$50&amp;"'!"&amp;"$D$5:$D$5000"),$B56)</f>
        <v/>
      </c>
      <c r="F56" s="67">
        <f>COUNTIFS(INDIRECT("'"&amp;$B$50&amp;"'!"&amp;"$i$5:$i$5000"),F$19,INDIRECT("'"&amp;$B$50&amp;"'!"&amp;"$D$5:$D$5000"),$B56)</f>
        <v/>
      </c>
      <c r="G56" s="67">
        <f>COUNTIFS(INDIRECT("'"&amp;$B$50&amp;"'!"&amp;"$i$5:$i$5000"),G$19,INDIRECT("'"&amp;$B$50&amp;"'!"&amp;"$D$5:$D$5000"),$B56)</f>
        <v/>
      </c>
      <c r="H56" s="68">
        <f>IFERROR((F56+G56)/C56,0)</f>
        <v/>
      </c>
      <c r="J56" s="67">
        <f>COUNTIFS(INDIRECT("'"&amp;$B$50&amp;"'!"&amp;"$i$5:$i$5000"),$D$19,INDIRECT("'"&amp;$B$50&amp;"'!"&amp;"$D$5:$D$5000"),$B56, INDIRECT("'"&amp;$B$50&amp;"'!"&amp;"$h$5:$h$5000"),J$19)+COUNTIFS(INDIRECT("'"&amp;$B$50&amp;"'!"&amp;"$i$5:$i$5000"),$E$19,INDIRECT("'"&amp;$B$50&amp;"'!"&amp;"$D$5:$D$5000"),$B56, INDIRECT("'"&amp;$B$50&amp;"'!"&amp;"$h$5:$h$5000"),J$19)</f>
        <v/>
      </c>
      <c r="K56" s="67">
        <f>COUNTIFS(INDIRECT("'"&amp;$B$50&amp;"'!"&amp;"$i$5:$i$5000"),$D$19,INDIRECT("'"&amp;$B$50&amp;"'!"&amp;"$D$5:$D$5000"),$B56, INDIRECT("'"&amp;$B$50&amp;"'!"&amp;"$h$5:$h$5000"),K$19)+COUNTIFS(INDIRECT("'"&amp;$B$50&amp;"'!"&amp;"$i$5:$i$5000"),$E$19,INDIRECT("'"&amp;$B$50&amp;"'!"&amp;"$D$5:$D$5000"),$B56, INDIRECT("'"&amp;$B$50&amp;"'!"&amp;"$h$5:$h$5000"),K$19)</f>
        <v/>
      </c>
      <c r="L56" s="67">
        <f>COUNTIFS(INDIRECT("'"&amp;$B$50&amp;"'!"&amp;"$i$5:$i$5000"),$D$19,INDIRECT("'"&amp;$B$50&amp;"'!"&amp;"$D$5:$D$5000"),$B56, INDIRECT("'"&amp;$B$50&amp;"'!"&amp;"$h$5:$h$5000"),L$19)+COUNTIFS(INDIRECT("'"&amp;$B$50&amp;"'!"&amp;"$i$5:$i$5000"),$E$19,INDIRECT("'"&amp;$B$50&amp;"'!"&amp;"$D$5:$D$5000"),$B56, INDIRECT("'"&amp;$B$50&amp;"'!"&amp;"$h$5:$h$5000"),L$19)</f>
        <v/>
      </c>
      <c r="M56" s="67">
        <f>COUNTIFS(INDIRECT("'"&amp;$B$50&amp;"'!"&amp;"$i$5:$i$5000"),$D$19,INDIRECT("'"&amp;$B$50&amp;"'!"&amp;"$D$5:$D$5000"),$B56, INDIRECT("'"&amp;$B$50&amp;"'!"&amp;"$h$5:$h$5000"),M$19)+COUNTIFS(INDIRECT("'"&amp;$B$50&amp;"'!"&amp;"$i$5:$i$5000"),$E$19,INDIRECT("'"&amp;$B$50&amp;"'!"&amp;"$D$5:$D$5000"),$B56, INDIRECT("'"&amp;$B$50&amp;"'!"&amp;"$h$5:$h$5000"),M$19)</f>
        <v/>
      </c>
    </row>
    <row r="57" ht="15" customHeight="1">
      <c r="A57" s="60" t="n"/>
      <c r="B57" s="45" t="inlineStr">
        <is>
          <t>[Input category here]</t>
        </is>
      </c>
      <c r="C57" s="67">
        <f>SUM(D57:G57)</f>
        <v/>
      </c>
      <c r="D57" s="67">
        <f>COUNTIFS(INDIRECT("'"&amp;$B$50&amp;"'!"&amp;"$i$5:$i$5000"),D$19,INDIRECT("'"&amp;$B$50&amp;"'!"&amp;"$D$5:$D$5000"),$B57)</f>
        <v/>
      </c>
      <c r="E57" s="67">
        <f>COUNTIFS(INDIRECT("'"&amp;$B$50&amp;"'!"&amp;"$i$5:$i$5000"),E$19,INDIRECT("'"&amp;$B$50&amp;"'!"&amp;"$D$5:$D$5000"),$B57)</f>
        <v/>
      </c>
      <c r="F57" s="67">
        <f>COUNTIFS(INDIRECT("'"&amp;$B$50&amp;"'!"&amp;"$i$5:$i$5000"),F$19,INDIRECT("'"&amp;$B$50&amp;"'!"&amp;"$D$5:$D$5000"),$B57)</f>
        <v/>
      </c>
      <c r="G57" s="67">
        <f>COUNTIFS(INDIRECT("'"&amp;$B$50&amp;"'!"&amp;"$i$5:$i$5000"),G$19,INDIRECT("'"&amp;$B$50&amp;"'!"&amp;"$D$5:$D$5000"),$B57)</f>
        <v/>
      </c>
      <c r="H57" s="68">
        <f>IFERROR((F57+G57)/C57,0)</f>
        <v/>
      </c>
      <c r="I57" s="1" t="n"/>
      <c r="J57" s="67">
        <f>COUNTIFS(INDIRECT("'"&amp;$B$50&amp;"'!"&amp;"$i$5:$i$5000"),$D$19,INDIRECT("'"&amp;$B$50&amp;"'!"&amp;"$D$5:$D$5000"),$B57, INDIRECT("'"&amp;$B$50&amp;"'!"&amp;"$h$5:$h$5000"),J$19)+COUNTIFS(INDIRECT("'"&amp;$B$50&amp;"'!"&amp;"$i$5:$i$5000"),$E$19,INDIRECT("'"&amp;$B$50&amp;"'!"&amp;"$D$5:$D$5000"),$B57, INDIRECT("'"&amp;$B$50&amp;"'!"&amp;"$h$5:$h$5000"),J$19)</f>
        <v/>
      </c>
      <c r="K57" s="67">
        <f>COUNTIFS(INDIRECT("'"&amp;$B$50&amp;"'!"&amp;"$i$5:$i$5000"),$D$19,INDIRECT("'"&amp;$B$50&amp;"'!"&amp;"$D$5:$D$5000"),$B57, INDIRECT("'"&amp;$B$50&amp;"'!"&amp;"$h$5:$h$5000"),K$19)+COUNTIFS(INDIRECT("'"&amp;$B$50&amp;"'!"&amp;"$i$5:$i$5000"),$E$19,INDIRECT("'"&amp;$B$50&amp;"'!"&amp;"$D$5:$D$5000"),$B57, INDIRECT("'"&amp;$B$50&amp;"'!"&amp;"$h$5:$h$5000"),K$19)</f>
        <v/>
      </c>
      <c r="L57" s="67">
        <f>COUNTIFS(INDIRECT("'"&amp;$B$50&amp;"'!"&amp;"$i$5:$i$5000"),$D$19,INDIRECT("'"&amp;$B$50&amp;"'!"&amp;"$D$5:$D$5000"),$B57, INDIRECT("'"&amp;$B$50&amp;"'!"&amp;"$h$5:$h$5000"),L$19)+COUNTIFS(INDIRECT("'"&amp;$B$50&amp;"'!"&amp;"$i$5:$i$5000"),$E$19,INDIRECT("'"&amp;$B$50&amp;"'!"&amp;"$D$5:$D$5000"),$B57, INDIRECT("'"&amp;$B$50&amp;"'!"&amp;"$h$5:$h$5000"),L$19)</f>
        <v/>
      </c>
      <c r="M57" s="67">
        <f>COUNTIFS(INDIRECT("'"&amp;$B$50&amp;"'!"&amp;"$i$5:$i$5000"),$D$19,INDIRECT("'"&amp;$B$50&amp;"'!"&amp;"$D$5:$D$5000"),$B57, INDIRECT("'"&amp;$B$50&amp;"'!"&amp;"$h$5:$h$5000"),M$19)+COUNTIFS(INDIRECT("'"&amp;$B$50&amp;"'!"&amp;"$i$5:$i$5000"),$E$19,INDIRECT("'"&amp;$B$50&amp;"'!"&amp;"$D$5:$D$5000"),$B57, INDIRECT("'"&amp;$B$50&amp;"'!"&amp;"$h$5:$h$5000"),M$19)</f>
        <v/>
      </c>
      <c r="N57" s="1" t="n"/>
      <c r="O57" s="1" t="n"/>
      <c r="P57" s="1" t="n"/>
      <c r="Q57" s="1" t="n"/>
      <c r="R57" s="1" t="n"/>
      <c r="S57" s="1" t="n"/>
      <c r="T57" s="1" t="n"/>
      <c r="U57" s="1" t="n"/>
      <c r="V57" s="1" t="n"/>
    </row>
    <row r="58" ht="15" customHeight="1">
      <c r="A58" s="62" t="n"/>
      <c r="B58" s="45" t="inlineStr">
        <is>
          <t>[Input category here]</t>
        </is>
      </c>
      <c r="C58" s="67">
        <f>SUM(D58:G58)</f>
        <v/>
      </c>
      <c r="D58" s="67">
        <f>COUNTIFS(INDIRECT("'"&amp;$B$50&amp;"'!"&amp;"$i$5:$i$5000"),D$19,INDIRECT("'"&amp;$B$50&amp;"'!"&amp;"$D$5:$D$5000"),$B58)</f>
        <v/>
      </c>
      <c r="E58" s="67">
        <f>COUNTIFS(INDIRECT("'"&amp;$B$50&amp;"'!"&amp;"$i$5:$i$5000"),E$19,INDIRECT("'"&amp;$B$50&amp;"'!"&amp;"$D$5:$D$5000"),$B58)</f>
        <v/>
      </c>
      <c r="F58" s="67">
        <f>COUNTIFS(INDIRECT("'"&amp;$B$50&amp;"'!"&amp;"$i$5:$i$5000"),F$19,INDIRECT("'"&amp;$B$50&amp;"'!"&amp;"$D$5:$D$5000"),$B58)</f>
        <v/>
      </c>
      <c r="G58" s="67">
        <f>COUNTIFS(INDIRECT("'"&amp;$B$50&amp;"'!"&amp;"$i$5:$i$5000"),G$19,INDIRECT("'"&amp;$B$50&amp;"'!"&amp;"$D$5:$D$5000"),$B58)</f>
        <v/>
      </c>
      <c r="H58" s="68">
        <f>IFERROR((F58+G58)/C58,0)</f>
        <v/>
      </c>
      <c r="I58" s="1" t="n"/>
      <c r="J58" s="67">
        <f>COUNTIFS(INDIRECT("'"&amp;$B$50&amp;"'!"&amp;"$i$5:$i$5000"),$D$19,INDIRECT("'"&amp;$B$50&amp;"'!"&amp;"$D$5:$D$5000"),$B58, INDIRECT("'"&amp;$B$50&amp;"'!"&amp;"$h$5:$h$5000"),J$19)+COUNTIFS(INDIRECT("'"&amp;$B$50&amp;"'!"&amp;"$i$5:$i$5000"),$E$19,INDIRECT("'"&amp;$B$50&amp;"'!"&amp;"$D$5:$D$5000"),$B58, INDIRECT("'"&amp;$B$50&amp;"'!"&amp;"$h$5:$h$5000"),J$19)</f>
        <v/>
      </c>
      <c r="K58" s="67">
        <f>COUNTIFS(INDIRECT("'"&amp;$B$50&amp;"'!"&amp;"$i$5:$i$5000"),$D$19,INDIRECT("'"&amp;$B$50&amp;"'!"&amp;"$D$5:$D$5000"),$B58, INDIRECT("'"&amp;$B$50&amp;"'!"&amp;"$h$5:$h$5000"),K$19)+COUNTIFS(INDIRECT("'"&amp;$B$50&amp;"'!"&amp;"$i$5:$i$5000"),$E$19,INDIRECT("'"&amp;$B$50&amp;"'!"&amp;"$D$5:$D$5000"),$B58, INDIRECT("'"&amp;$B$50&amp;"'!"&amp;"$h$5:$h$5000"),K$19)</f>
        <v/>
      </c>
      <c r="L58" s="67">
        <f>COUNTIFS(INDIRECT("'"&amp;$B$50&amp;"'!"&amp;"$i$5:$i$5000"),$D$19,INDIRECT("'"&amp;$B$50&amp;"'!"&amp;"$D$5:$D$5000"),$B58, INDIRECT("'"&amp;$B$50&amp;"'!"&amp;"$h$5:$h$5000"),L$19)+COUNTIFS(INDIRECT("'"&amp;$B$50&amp;"'!"&amp;"$i$5:$i$5000"),$E$19,INDIRECT("'"&amp;$B$50&amp;"'!"&amp;"$D$5:$D$5000"),$B58, INDIRECT("'"&amp;$B$50&amp;"'!"&amp;"$h$5:$h$5000"),L$19)</f>
        <v/>
      </c>
      <c r="M58" s="67">
        <f>COUNTIFS(INDIRECT("'"&amp;$B$50&amp;"'!"&amp;"$i$5:$i$5000"),$D$19,INDIRECT("'"&amp;$B$50&amp;"'!"&amp;"$D$5:$D$5000"),$B58, INDIRECT("'"&amp;$B$50&amp;"'!"&amp;"$h$5:$h$5000"),M$19)+COUNTIFS(INDIRECT("'"&amp;$B$50&amp;"'!"&amp;"$i$5:$i$5000"),$E$19,INDIRECT("'"&amp;$B$50&amp;"'!"&amp;"$D$5:$D$5000"),$B58, INDIRECT("'"&amp;$B$50&amp;"'!"&amp;"$h$5:$h$5000"),M$19)</f>
        <v/>
      </c>
    </row>
    <row r="59" ht="15" customHeight="1">
      <c r="A59" s="62" t="n"/>
      <c r="B59" s="45" t="inlineStr">
        <is>
          <t>[Input category here]</t>
        </is>
      </c>
      <c r="C59" s="67">
        <f>SUM(D59:G59)</f>
        <v/>
      </c>
      <c r="D59" s="67">
        <f>COUNTIFS(INDIRECT("'"&amp;$B$50&amp;"'!"&amp;"$i$5:$i$5000"),D$19,INDIRECT("'"&amp;$B$50&amp;"'!"&amp;"$D$5:$D$5000"),$B59)</f>
        <v/>
      </c>
      <c r="E59" s="67">
        <f>COUNTIFS(INDIRECT("'"&amp;$B$50&amp;"'!"&amp;"$i$5:$i$5000"),E$19,INDIRECT("'"&amp;$B$50&amp;"'!"&amp;"$D$5:$D$5000"),$B59)</f>
        <v/>
      </c>
      <c r="F59" s="67">
        <f>COUNTIFS(INDIRECT("'"&amp;$B$50&amp;"'!"&amp;"$i$5:$i$5000"),F$19,INDIRECT("'"&amp;$B$50&amp;"'!"&amp;"$D$5:$D$5000"),$B59)</f>
        <v/>
      </c>
      <c r="G59" s="67">
        <f>COUNTIFS(INDIRECT("'"&amp;$B$50&amp;"'!"&amp;"$i$5:$i$5000"),G$19,INDIRECT("'"&amp;$B$50&amp;"'!"&amp;"$D$5:$D$5000"),$B59)</f>
        <v/>
      </c>
      <c r="H59" s="68">
        <f>IFERROR((F59+G59)/C59,0)</f>
        <v/>
      </c>
      <c r="I59" s="1" t="n"/>
      <c r="J59" s="67">
        <f>COUNTIFS(INDIRECT("'"&amp;$B$50&amp;"'!"&amp;"$i$5:$i$5000"),$D$19,INDIRECT("'"&amp;$B$50&amp;"'!"&amp;"$D$5:$D$5000"),$B59, INDIRECT("'"&amp;$B$50&amp;"'!"&amp;"$h$5:$h$5000"),J$19)+COUNTIFS(INDIRECT("'"&amp;$B$50&amp;"'!"&amp;"$i$5:$i$5000"),$E$19,INDIRECT("'"&amp;$B$50&amp;"'!"&amp;"$D$5:$D$5000"),$B59, INDIRECT("'"&amp;$B$50&amp;"'!"&amp;"$h$5:$h$5000"),J$19)</f>
        <v/>
      </c>
      <c r="K59" s="67">
        <f>COUNTIFS(INDIRECT("'"&amp;$B$50&amp;"'!"&amp;"$i$5:$i$5000"),$D$19,INDIRECT("'"&amp;$B$50&amp;"'!"&amp;"$D$5:$D$5000"),$B59, INDIRECT("'"&amp;$B$50&amp;"'!"&amp;"$h$5:$h$5000"),K$19)+COUNTIFS(INDIRECT("'"&amp;$B$50&amp;"'!"&amp;"$i$5:$i$5000"),$E$19,INDIRECT("'"&amp;$B$50&amp;"'!"&amp;"$D$5:$D$5000"),$B59, INDIRECT("'"&amp;$B$50&amp;"'!"&amp;"$h$5:$h$5000"),K$19)</f>
        <v/>
      </c>
      <c r="L59" s="67">
        <f>COUNTIFS(INDIRECT("'"&amp;$B$50&amp;"'!"&amp;"$i$5:$i$5000"),$D$19,INDIRECT("'"&amp;$B$50&amp;"'!"&amp;"$D$5:$D$5000"),$B59, INDIRECT("'"&amp;$B$50&amp;"'!"&amp;"$h$5:$h$5000"),L$19)+COUNTIFS(INDIRECT("'"&amp;$B$50&amp;"'!"&amp;"$i$5:$i$5000"),$E$19,INDIRECT("'"&amp;$B$50&amp;"'!"&amp;"$D$5:$D$5000"),$B59, INDIRECT("'"&amp;$B$50&amp;"'!"&amp;"$h$5:$h$5000"),L$19)</f>
        <v/>
      </c>
      <c r="M59" s="67">
        <f>COUNTIFS(INDIRECT("'"&amp;$B$50&amp;"'!"&amp;"$i$5:$i$5000"),$D$19,INDIRECT("'"&amp;$B$50&amp;"'!"&amp;"$D$5:$D$5000"),$B59, INDIRECT("'"&amp;$B$50&amp;"'!"&amp;"$h$5:$h$5000"),M$19)+COUNTIFS(INDIRECT("'"&amp;$B$50&amp;"'!"&amp;"$i$5:$i$5000"),$E$19,INDIRECT("'"&amp;$B$50&amp;"'!"&amp;"$D$5:$D$5000"),$B59, INDIRECT("'"&amp;$B$50&amp;"'!"&amp;"$h$5:$h$5000"),M$19)</f>
        <v/>
      </c>
    </row>
    <row r="60" ht="15" customHeight="1">
      <c r="A60" s="62" t="n"/>
      <c r="B60" s="45" t="inlineStr">
        <is>
          <t>[Input category here]</t>
        </is>
      </c>
      <c r="C60" s="67">
        <f>SUM(D60:G60)</f>
        <v/>
      </c>
      <c r="D60" s="67">
        <f>COUNTIFS(INDIRECT("'"&amp;$B$50&amp;"'!"&amp;"$i$5:$i$5000"),D$19,INDIRECT("'"&amp;$B$50&amp;"'!"&amp;"$D$5:$D$5000"),$B60)</f>
        <v/>
      </c>
      <c r="E60" s="67">
        <f>COUNTIFS(INDIRECT("'"&amp;$B$50&amp;"'!"&amp;"$i$5:$i$5000"),E$19,INDIRECT("'"&amp;$B$50&amp;"'!"&amp;"$D$5:$D$5000"),$B60)</f>
        <v/>
      </c>
      <c r="F60" s="67">
        <f>COUNTIFS(INDIRECT("'"&amp;$B$50&amp;"'!"&amp;"$i$5:$i$5000"),F$19,INDIRECT("'"&amp;$B$50&amp;"'!"&amp;"$D$5:$D$5000"),$B60)</f>
        <v/>
      </c>
      <c r="G60" s="67">
        <f>COUNTIFS(INDIRECT("'"&amp;$B$50&amp;"'!"&amp;"$i$5:$i$5000"),G$19,INDIRECT("'"&amp;$B$50&amp;"'!"&amp;"$D$5:$D$5000"),$B60)</f>
        <v/>
      </c>
      <c r="H60" s="68">
        <f>IFERROR((F60+G60)/C60,0)</f>
        <v/>
      </c>
      <c r="I60" s="1" t="n"/>
      <c r="J60" s="67">
        <f>COUNTIFS(INDIRECT("'"&amp;$B$50&amp;"'!"&amp;"$i$5:$i$5000"),$D$19,INDIRECT("'"&amp;$B$50&amp;"'!"&amp;"$D$5:$D$5000"),$B60, INDIRECT("'"&amp;$B$50&amp;"'!"&amp;"$h$5:$h$5000"),J$19)+COUNTIFS(INDIRECT("'"&amp;$B$50&amp;"'!"&amp;"$i$5:$i$5000"),$E$19,INDIRECT("'"&amp;$B$50&amp;"'!"&amp;"$D$5:$D$5000"),$B60, INDIRECT("'"&amp;$B$50&amp;"'!"&amp;"$h$5:$h$5000"),J$19)</f>
        <v/>
      </c>
      <c r="K60" s="67">
        <f>COUNTIFS(INDIRECT("'"&amp;$B$50&amp;"'!"&amp;"$i$5:$i$5000"),$D$19,INDIRECT("'"&amp;$B$50&amp;"'!"&amp;"$D$5:$D$5000"),$B60, INDIRECT("'"&amp;$B$50&amp;"'!"&amp;"$h$5:$h$5000"),K$19)+COUNTIFS(INDIRECT("'"&amp;$B$50&amp;"'!"&amp;"$i$5:$i$5000"),$E$19,INDIRECT("'"&amp;$B$50&amp;"'!"&amp;"$D$5:$D$5000"),$B60, INDIRECT("'"&amp;$B$50&amp;"'!"&amp;"$h$5:$h$5000"),K$19)</f>
        <v/>
      </c>
      <c r="L60" s="67">
        <f>COUNTIFS(INDIRECT("'"&amp;$B$50&amp;"'!"&amp;"$i$5:$i$5000"),$D$19,INDIRECT("'"&amp;$B$50&amp;"'!"&amp;"$D$5:$D$5000"),$B60, INDIRECT("'"&amp;$B$50&amp;"'!"&amp;"$h$5:$h$5000"),L$19)+COUNTIFS(INDIRECT("'"&amp;$B$50&amp;"'!"&amp;"$i$5:$i$5000"),$E$19,INDIRECT("'"&amp;$B$50&amp;"'!"&amp;"$D$5:$D$5000"),$B60, INDIRECT("'"&amp;$B$50&amp;"'!"&amp;"$h$5:$h$5000"),L$19)</f>
        <v/>
      </c>
      <c r="M60" s="67">
        <f>COUNTIFS(INDIRECT("'"&amp;$B$50&amp;"'!"&amp;"$i$5:$i$5000"),$D$19,INDIRECT("'"&amp;$B$50&amp;"'!"&amp;"$D$5:$D$5000"),$B60, INDIRECT("'"&amp;$B$50&amp;"'!"&amp;"$h$5:$h$5000"),M$19)+COUNTIFS(INDIRECT("'"&amp;$B$50&amp;"'!"&amp;"$i$5:$i$5000"),$E$19,INDIRECT("'"&amp;$B$50&amp;"'!"&amp;"$D$5:$D$5000"),$B60, INDIRECT("'"&amp;$B$50&amp;"'!"&amp;"$h$5:$h$5000"),M$19)</f>
        <v/>
      </c>
    </row>
    <row r="61" ht="15" customHeight="1">
      <c r="A61" s="62" t="n"/>
      <c r="B61" s="45" t="inlineStr">
        <is>
          <t>[Input category here]</t>
        </is>
      </c>
      <c r="C61" s="67">
        <f>SUM(D61:G61)</f>
        <v/>
      </c>
      <c r="D61" s="67">
        <f>COUNTIFS(INDIRECT("'"&amp;$B$50&amp;"'!"&amp;"$i$5:$i$5000"),D$19,INDIRECT("'"&amp;$B$50&amp;"'!"&amp;"$D$5:$D$5000"),$B61)</f>
        <v/>
      </c>
      <c r="E61" s="67">
        <f>COUNTIFS(INDIRECT("'"&amp;$B$50&amp;"'!"&amp;"$i$5:$i$5000"),E$19,INDIRECT("'"&amp;$B$50&amp;"'!"&amp;"$D$5:$D$5000"),$B61)</f>
        <v/>
      </c>
      <c r="F61" s="67">
        <f>COUNTIFS(INDIRECT("'"&amp;$B$50&amp;"'!"&amp;"$i$5:$i$5000"),F$19,INDIRECT("'"&amp;$B$50&amp;"'!"&amp;"$D$5:$D$5000"),$B61)</f>
        <v/>
      </c>
      <c r="G61" s="67">
        <f>COUNTIFS(INDIRECT("'"&amp;$B$50&amp;"'!"&amp;"$i$5:$i$5000"),G$19,INDIRECT("'"&amp;$B$50&amp;"'!"&amp;"$D$5:$D$5000"),$B61)</f>
        <v/>
      </c>
      <c r="H61" s="68">
        <f>IFERROR((F61+G61)/C61,0)</f>
        <v/>
      </c>
      <c r="I61" s="1" t="n"/>
      <c r="J61" s="67">
        <f>COUNTIFS(INDIRECT("'"&amp;$B$50&amp;"'!"&amp;"$i$5:$i$5000"),$D$19,INDIRECT("'"&amp;$B$50&amp;"'!"&amp;"$D$5:$D$5000"),$B61, INDIRECT("'"&amp;$B$50&amp;"'!"&amp;"$h$5:$h$5000"),J$19)+COUNTIFS(INDIRECT("'"&amp;$B$50&amp;"'!"&amp;"$i$5:$i$5000"),$E$19,INDIRECT("'"&amp;$B$50&amp;"'!"&amp;"$D$5:$D$5000"),$B61, INDIRECT("'"&amp;$B$50&amp;"'!"&amp;"$h$5:$h$5000"),J$19)</f>
        <v/>
      </c>
      <c r="K61" s="67">
        <f>COUNTIFS(INDIRECT("'"&amp;$B$50&amp;"'!"&amp;"$i$5:$i$5000"),$D$19,INDIRECT("'"&amp;$B$50&amp;"'!"&amp;"$D$5:$D$5000"),$B61, INDIRECT("'"&amp;$B$50&amp;"'!"&amp;"$h$5:$h$5000"),K$19)+COUNTIFS(INDIRECT("'"&amp;$B$50&amp;"'!"&amp;"$i$5:$i$5000"),$E$19,INDIRECT("'"&amp;$B$50&amp;"'!"&amp;"$D$5:$D$5000"),$B61, INDIRECT("'"&amp;$B$50&amp;"'!"&amp;"$h$5:$h$5000"),K$19)</f>
        <v/>
      </c>
      <c r="L61" s="67">
        <f>COUNTIFS(INDIRECT("'"&amp;$B$50&amp;"'!"&amp;"$i$5:$i$5000"),$D$19,INDIRECT("'"&amp;$B$50&amp;"'!"&amp;"$D$5:$D$5000"),$B61, INDIRECT("'"&amp;$B$50&amp;"'!"&amp;"$h$5:$h$5000"),L$19)+COUNTIFS(INDIRECT("'"&amp;$B$50&amp;"'!"&amp;"$i$5:$i$5000"),$E$19,INDIRECT("'"&amp;$B$50&amp;"'!"&amp;"$D$5:$D$5000"),$B61, INDIRECT("'"&amp;$B$50&amp;"'!"&amp;"$h$5:$h$5000"),L$19)</f>
        <v/>
      </c>
      <c r="M61" s="67">
        <f>COUNTIFS(INDIRECT("'"&amp;$B$50&amp;"'!"&amp;"$i$5:$i$5000"),$D$19,INDIRECT("'"&amp;$B$50&amp;"'!"&amp;"$D$5:$D$5000"),$B61, INDIRECT("'"&amp;$B$50&amp;"'!"&amp;"$h$5:$h$5000"),M$19)+COUNTIFS(INDIRECT("'"&amp;$B$50&amp;"'!"&amp;"$i$5:$i$5000"),$E$19,INDIRECT("'"&amp;$B$50&amp;"'!"&amp;"$D$5:$D$5000"),$B61, INDIRECT("'"&amp;$B$50&amp;"'!"&amp;"$h$5:$h$5000"),M$19)</f>
        <v/>
      </c>
    </row>
    <row r="62" ht="15" customHeight="1">
      <c r="A62" s="62" t="n"/>
      <c r="B62" s="45" t="inlineStr">
        <is>
          <t>[Input category here]</t>
        </is>
      </c>
      <c r="C62" s="67">
        <f>SUM(D62:G62)</f>
        <v/>
      </c>
      <c r="D62" s="67">
        <f>COUNTIFS(INDIRECT("'"&amp;$B$50&amp;"'!"&amp;"$i$5:$i$5000"),D$19,INDIRECT("'"&amp;$B$50&amp;"'!"&amp;"$D$5:$D$5000"),$B62)</f>
        <v/>
      </c>
      <c r="E62" s="67">
        <f>COUNTIFS(INDIRECT("'"&amp;$B$50&amp;"'!"&amp;"$i$5:$i$5000"),E$19,INDIRECT("'"&amp;$B$50&amp;"'!"&amp;"$D$5:$D$5000"),$B62)</f>
        <v/>
      </c>
      <c r="F62" s="67">
        <f>COUNTIFS(INDIRECT("'"&amp;$B$50&amp;"'!"&amp;"$i$5:$i$5000"),F$19,INDIRECT("'"&amp;$B$50&amp;"'!"&amp;"$D$5:$D$5000"),$B62)</f>
        <v/>
      </c>
      <c r="G62" s="67">
        <f>COUNTIFS(INDIRECT("'"&amp;$B$50&amp;"'!"&amp;"$i$5:$i$5000"),G$19,INDIRECT("'"&amp;$B$50&amp;"'!"&amp;"$D$5:$D$5000"),$B62)</f>
        <v/>
      </c>
      <c r="H62" s="68">
        <f>IFERROR((F62+G62)/C62,0)</f>
        <v/>
      </c>
      <c r="I62" s="1" t="n"/>
      <c r="J62" s="67">
        <f>COUNTIFS(INDIRECT("'"&amp;$B$50&amp;"'!"&amp;"$i$5:$i$5000"),$D$19,INDIRECT("'"&amp;$B$50&amp;"'!"&amp;"$D$5:$D$5000"),$B62, INDIRECT("'"&amp;$B$50&amp;"'!"&amp;"$h$5:$h$5000"),J$19)+COUNTIFS(INDIRECT("'"&amp;$B$50&amp;"'!"&amp;"$i$5:$i$5000"),$E$19,INDIRECT("'"&amp;$B$50&amp;"'!"&amp;"$D$5:$D$5000"),$B62, INDIRECT("'"&amp;$B$50&amp;"'!"&amp;"$h$5:$h$5000"),J$19)</f>
        <v/>
      </c>
      <c r="K62" s="67">
        <f>COUNTIFS(INDIRECT("'"&amp;$B$50&amp;"'!"&amp;"$i$5:$i$5000"),$D$19,INDIRECT("'"&amp;$B$50&amp;"'!"&amp;"$D$5:$D$5000"),$B62, INDIRECT("'"&amp;$B$50&amp;"'!"&amp;"$h$5:$h$5000"),K$19)+COUNTIFS(INDIRECT("'"&amp;$B$50&amp;"'!"&amp;"$i$5:$i$5000"),$E$19,INDIRECT("'"&amp;$B$50&amp;"'!"&amp;"$D$5:$D$5000"),$B62, INDIRECT("'"&amp;$B$50&amp;"'!"&amp;"$h$5:$h$5000"),K$19)</f>
        <v/>
      </c>
      <c r="L62" s="67">
        <f>COUNTIFS(INDIRECT("'"&amp;$B$50&amp;"'!"&amp;"$i$5:$i$5000"),$D$19,INDIRECT("'"&amp;$B$50&amp;"'!"&amp;"$D$5:$D$5000"),$B62, INDIRECT("'"&amp;$B$50&amp;"'!"&amp;"$h$5:$h$5000"),L$19)+COUNTIFS(INDIRECT("'"&amp;$B$50&amp;"'!"&amp;"$i$5:$i$5000"),$E$19,INDIRECT("'"&amp;$B$50&amp;"'!"&amp;"$D$5:$D$5000"),$B62, INDIRECT("'"&amp;$B$50&amp;"'!"&amp;"$h$5:$h$5000"),L$19)</f>
        <v/>
      </c>
      <c r="M62" s="67">
        <f>COUNTIFS(INDIRECT("'"&amp;$B$50&amp;"'!"&amp;"$i$5:$i$5000"),$D$19,INDIRECT("'"&amp;$B$50&amp;"'!"&amp;"$D$5:$D$5000"),$B62, INDIRECT("'"&amp;$B$50&amp;"'!"&amp;"$h$5:$h$5000"),M$19)+COUNTIFS(INDIRECT("'"&amp;$B$50&amp;"'!"&amp;"$i$5:$i$5000"),$E$19,INDIRECT("'"&amp;$B$50&amp;"'!"&amp;"$D$5:$D$5000"),$B62, INDIRECT("'"&amp;$B$50&amp;"'!"&amp;"$h$5:$h$5000"),M$19)</f>
        <v/>
      </c>
    </row>
    <row r="63" ht="15" customHeight="1">
      <c r="A63" s="62" t="n"/>
      <c r="B63" s="45" t="inlineStr">
        <is>
          <t>[Input category here]</t>
        </is>
      </c>
      <c r="C63" s="67">
        <f>SUM(D63:G63)</f>
        <v/>
      </c>
      <c r="D63" s="67">
        <f>COUNTIFS(INDIRECT("'"&amp;$B$50&amp;"'!"&amp;"$i$5:$i$5000"),D$19,INDIRECT("'"&amp;$B$50&amp;"'!"&amp;"$D$5:$D$5000"),$B63)</f>
        <v/>
      </c>
      <c r="E63" s="67">
        <f>COUNTIFS(INDIRECT("'"&amp;$B$50&amp;"'!"&amp;"$i$5:$i$5000"),E$19,INDIRECT("'"&amp;$B$50&amp;"'!"&amp;"$D$5:$D$5000"),$B63)</f>
        <v/>
      </c>
      <c r="F63" s="67">
        <f>COUNTIFS(INDIRECT("'"&amp;$B$50&amp;"'!"&amp;"$i$5:$i$5000"),F$19,INDIRECT("'"&amp;$B$50&amp;"'!"&amp;"$D$5:$D$5000"),$B63)</f>
        <v/>
      </c>
      <c r="G63" s="67">
        <f>COUNTIFS(INDIRECT("'"&amp;$B$50&amp;"'!"&amp;"$i$5:$i$5000"),G$19,INDIRECT("'"&amp;$B$50&amp;"'!"&amp;"$D$5:$D$5000"),$B63)</f>
        <v/>
      </c>
      <c r="H63" s="68">
        <f>IFERROR((F63+G63)/C63,0)</f>
        <v/>
      </c>
      <c r="I63" s="1" t="n"/>
      <c r="J63" s="67">
        <f>COUNTIFS(INDIRECT("'"&amp;$B$50&amp;"'!"&amp;"$i$5:$i$5000"),$D$19,INDIRECT("'"&amp;$B$50&amp;"'!"&amp;"$D$5:$D$5000"),$B63, INDIRECT("'"&amp;$B$50&amp;"'!"&amp;"$h$5:$h$5000"),J$19)+COUNTIFS(INDIRECT("'"&amp;$B$50&amp;"'!"&amp;"$i$5:$i$5000"),$E$19,INDIRECT("'"&amp;$B$50&amp;"'!"&amp;"$D$5:$D$5000"),$B63, INDIRECT("'"&amp;$B$50&amp;"'!"&amp;"$h$5:$h$5000"),J$19)</f>
        <v/>
      </c>
      <c r="K63" s="67">
        <f>COUNTIFS(INDIRECT("'"&amp;$B$50&amp;"'!"&amp;"$i$5:$i$5000"),$D$19,INDIRECT("'"&amp;$B$50&amp;"'!"&amp;"$D$5:$D$5000"),$B63, INDIRECT("'"&amp;$B$50&amp;"'!"&amp;"$h$5:$h$5000"),K$19)+COUNTIFS(INDIRECT("'"&amp;$B$50&amp;"'!"&amp;"$i$5:$i$5000"),$E$19,INDIRECT("'"&amp;$B$50&amp;"'!"&amp;"$D$5:$D$5000"),$B63, INDIRECT("'"&amp;$B$50&amp;"'!"&amp;"$h$5:$h$5000"),K$19)</f>
        <v/>
      </c>
      <c r="L63" s="67">
        <f>COUNTIFS(INDIRECT("'"&amp;$B$50&amp;"'!"&amp;"$i$5:$i$5000"),$D$19,INDIRECT("'"&amp;$B$50&amp;"'!"&amp;"$D$5:$D$5000"),$B63, INDIRECT("'"&amp;$B$50&amp;"'!"&amp;"$h$5:$h$5000"),L$19)+COUNTIFS(INDIRECT("'"&amp;$B$50&amp;"'!"&amp;"$i$5:$i$5000"),$E$19,INDIRECT("'"&amp;$B$50&amp;"'!"&amp;"$D$5:$D$5000"),$B63, INDIRECT("'"&amp;$B$50&amp;"'!"&amp;"$h$5:$h$5000"),L$19)</f>
        <v/>
      </c>
      <c r="M63" s="67">
        <f>COUNTIFS(INDIRECT("'"&amp;$B$50&amp;"'!"&amp;"$i$5:$i$5000"),$D$19,INDIRECT("'"&amp;$B$50&amp;"'!"&amp;"$D$5:$D$5000"),$B63, INDIRECT("'"&amp;$B$50&amp;"'!"&amp;"$h$5:$h$5000"),M$19)+COUNTIFS(INDIRECT("'"&amp;$B$50&amp;"'!"&amp;"$i$5:$i$5000"),$E$19,INDIRECT("'"&amp;$B$50&amp;"'!"&amp;"$D$5:$D$5000"),$B63, INDIRECT("'"&amp;$B$50&amp;"'!"&amp;"$h$5:$h$5000"),M$19)</f>
        <v/>
      </c>
    </row>
    <row r="64" ht="15" customHeight="1">
      <c r="A64" s="60" t="n"/>
      <c r="B64" s="16" t="inlineStr">
        <is>
          <t>Total</t>
        </is>
      </c>
      <c r="C64" s="73">
        <f>SUM(C54:C63)</f>
        <v/>
      </c>
      <c r="D64" s="73">
        <f>SUM(D54:D63)</f>
        <v/>
      </c>
      <c r="E64" s="73">
        <f>SUM(E54:E63)</f>
        <v/>
      </c>
      <c r="F64" s="73">
        <f>SUM(F54:F63)</f>
        <v/>
      </c>
      <c r="G64" s="73">
        <f>SUM(G54:G63)</f>
        <v/>
      </c>
      <c r="H64" s="74">
        <f>IFERROR((F64+G64)/C64,0)</f>
        <v/>
      </c>
      <c r="I64" s="4" t="n"/>
      <c r="J64" s="73">
        <f>SUM(J54:J63)</f>
        <v/>
      </c>
      <c r="K64" s="73">
        <f>SUM(K54:K63)</f>
        <v/>
      </c>
      <c r="L64" s="73">
        <f>SUM(L54:L63)</f>
        <v/>
      </c>
      <c r="M64" s="73">
        <f>SUM(M54:M63)</f>
        <v/>
      </c>
      <c r="N64" s="1" t="n"/>
    </row>
    <row r="65">
      <c r="A65" s="62" t="inlineStr">
        <is>
          <t>x</t>
        </is>
      </c>
      <c r="J65" s="4" t="n"/>
      <c r="K65" s="4" t="n"/>
    </row>
    <row r="66">
      <c r="J66" s="4" t="n"/>
      <c r="K66" s="4" t="n"/>
    </row>
    <row r="67" ht="15" customHeight="1" thickBot="1">
      <c r="B67" s="64" t="inlineStr">
        <is>
          <t>Advisor C</t>
        </is>
      </c>
      <c r="C67" s="37" t="n"/>
      <c r="D67" s="37" t="n"/>
      <c r="E67" s="37" t="n"/>
      <c r="F67" s="37" t="n"/>
      <c r="G67" s="37" t="n"/>
      <c r="H67" s="37" t="n"/>
      <c r="I67" s="37" t="n"/>
      <c r="J67" s="37" t="n"/>
      <c r="K67" s="37" t="n"/>
      <c r="L67" s="37" t="n"/>
      <c r="M67" s="38" t="n"/>
    </row>
    <row r="68" ht="5.15" customHeight="1">
      <c r="B68" s="26" t="n"/>
      <c r="C68" s="27" t="n"/>
      <c r="D68" s="27" t="n"/>
      <c r="E68" s="27" t="n"/>
      <c r="F68" s="27" t="n"/>
      <c r="G68" s="27" t="n"/>
      <c r="H68" s="27" t="n"/>
      <c r="I68" s="27" t="n"/>
      <c r="J68" s="27" t="n"/>
      <c r="K68" s="27" t="n"/>
      <c r="L68" s="18" t="n"/>
    </row>
    <row r="69" ht="15" customHeight="1">
      <c r="J69" s="12">
        <f>+$J$7</f>
        <v/>
      </c>
      <c r="K69" s="12" t="n"/>
      <c r="L69" s="12" t="n"/>
      <c r="M69" s="12" t="n"/>
    </row>
    <row r="70" ht="15" customHeight="1">
      <c r="B70" s="5" t="n"/>
      <c r="C70" s="13" t="inlineStr">
        <is>
          <t>Total</t>
        </is>
      </c>
      <c r="D70" s="14" t="inlineStr">
        <is>
          <t>Open</t>
        </is>
      </c>
      <c r="E70" s="14" t="inlineStr">
        <is>
          <t>Partial</t>
        </is>
      </c>
      <c r="F70" s="14" t="inlineStr">
        <is>
          <t>Closed</t>
        </is>
      </c>
      <c r="G70" s="14" t="inlineStr">
        <is>
          <t>N/A</t>
        </is>
      </c>
      <c r="H70" s="15" t="inlineStr">
        <is>
          <t>% Closed</t>
        </is>
      </c>
      <c r="I70" s="5" t="n"/>
      <c r="J70" s="17" t="inlineStr">
        <is>
          <t>Highest</t>
        </is>
      </c>
      <c r="K70" s="17" t="inlineStr">
        <is>
          <t>High</t>
        </is>
      </c>
      <c r="L70" s="17" t="inlineStr">
        <is>
          <t>Medium</t>
        </is>
      </c>
      <c r="M70" s="17" t="inlineStr">
        <is>
          <t>Low</t>
        </is>
      </c>
    </row>
    <row r="71" ht="15" customHeight="1">
      <c r="A71" s="62" t="n"/>
      <c r="B71" s="45" t="inlineStr">
        <is>
          <t>[Input category here]</t>
        </is>
      </c>
      <c r="C71" s="67">
        <f>SUM(D71:G71)</f>
        <v/>
      </c>
      <c r="D71" s="67">
        <f>COUNTIFS(INDIRECT("'"&amp;$B$67&amp;"'!"&amp;"$H$5:$H$500"),D$19,INDIRECT("'"&amp;$B$67&amp;"'!"&amp;"$D$5:$D$500"),$B71)</f>
        <v/>
      </c>
      <c r="E71" s="67">
        <f>COUNTIFS(INDIRECT("'"&amp;$B$67&amp;"'!"&amp;"$H$5:$H$500"),E$19,INDIRECT("'"&amp;$B$67&amp;"'!"&amp;"$D$5:$D$500"),$B71)</f>
        <v/>
      </c>
      <c r="F71" s="67">
        <f>COUNTIFS(INDIRECT("'"&amp;$B$67&amp;"'!"&amp;"$H$5:$H$500"),F$19,INDIRECT("'"&amp;$B$67&amp;"'!"&amp;"$D$5:$D$500"),$B71)</f>
        <v/>
      </c>
      <c r="G71" s="67">
        <f>COUNTIFS(INDIRECT("'"&amp;$B$67&amp;"'!"&amp;"$H$5:$H$500"),G$19,INDIRECT("'"&amp;$B$67&amp;"'!"&amp;"$D$5:$D$500"),$B71)</f>
        <v/>
      </c>
      <c r="H71" s="68">
        <f>IFERROR((F71+G71)/C71,0)</f>
        <v/>
      </c>
      <c r="J71" s="67">
        <f>COUNTIFS(INDIRECT("'"&amp;$B$67&amp;"'!"&amp;"$H$5:$H$500"),$D$19,INDIRECT("'"&amp;$B$67&amp;"'!"&amp;"$D$5:$D$500"),$B71, INDIRECT("'"&amp;$B$67&amp;"'!"&amp;"$G$5:$G$500"),J$19)+COUNTIFS(INDIRECT("'"&amp;$B$67&amp;"'!"&amp;"$H$5:$H$500"),$E$19,INDIRECT("'"&amp;$B$67&amp;"'!"&amp;"$D$5:$D$500"),$B71, INDIRECT("'"&amp;$B$67&amp;"'!"&amp;"$G$5:$G$500"),J$19)</f>
        <v/>
      </c>
      <c r="K71" s="67">
        <f>COUNTIFS(INDIRECT("'"&amp;$B$67&amp;"'!"&amp;"$H$5:$H$500"),$D$19,INDIRECT("'"&amp;$B$67&amp;"'!"&amp;"$D$5:$D$500"),$B71, INDIRECT("'"&amp;$B$67&amp;"'!"&amp;"$G$5:$G$500"),K$19)+COUNTIFS(INDIRECT("'"&amp;$B$67&amp;"'!"&amp;"$H$5:$H$500"),$E$19,INDIRECT("'"&amp;$B$67&amp;"'!"&amp;"$D$5:$D$500"),$B71, INDIRECT("'"&amp;$B$67&amp;"'!"&amp;"$G$5:$G$500"),K$19)</f>
        <v/>
      </c>
      <c r="L71" s="67">
        <f>COUNTIFS(INDIRECT("'"&amp;$B$67&amp;"'!"&amp;"$H$5:$H$500"),$D$19,INDIRECT("'"&amp;$B$67&amp;"'!"&amp;"$D$5:$D$500"),$B71, INDIRECT("'"&amp;$B$67&amp;"'!"&amp;"$G$5:$G$500"),L$19)+COUNTIFS(INDIRECT("'"&amp;$B$67&amp;"'!"&amp;"$H$5:$H$500"),$E$19,INDIRECT("'"&amp;$B$67&amp;"'!"&amp;"$D$5:$D$500"),$B71, INDIRECT("'"&amp;$B$67&amp;"'!"&amp;"$G$5:$G$500"),L$19)</f>
        <v/>
      </c>
      <c r="M71" s="67">
        <f>COUNTIFS(INDIRECT("'"&amp;$B$67&amp;"'!"&amp;"$H$5:$H$500"),$D$19,INDIRECT("'"&amp;$B$67&amp;"'!"&amp;"$D$5:$D$500"),$B71, INDIRECT("'"&amp;$B$67&amp;"'!"&amp;"$G$5:$G$500"),M$19)+COUNTIFS(INDIRECT("'"&amp;$B$67&amp;"'!"&amp;"$H$5:$H$500"),$E$19,INDIRECT("'"&amp;$B$67&amp;"'!"&amp;"$D$5:$D$500"),$B71, INDIRECT("'"&amp;$B$67&amp;"'!"&amp;"$G$5:$G$500"),M$19)</f>
        <v/>
      </c>
    </row>
    <row r="72" ht="15" customHeight="1">
      <c r="A72" s="62" t="n"/>
      <c r="B72" s="45" t="inlineStr">
        <is>
          <t>[Input category here]</t>
        </is>
      </c>
      <c r="C72" s="67">
        <f>SUM(D72:G72)</f>
        <v/>
      </c>
      <c r="D72" s="67">
        <f>COUNTIFS(INDIRECT("'"&amp;$B$67&amp;"'!"&amp;"$H$5:$H$500"),D$19,INDIRECT("'"&amp;$B$67&amp;"'!"&amp;"$D$5:$D$500"),$B72)</f>
        <v/>
      </c>
      <c r="E72" s="67">
        <f>COUNTIFS(INDIRECT("'"&amp;$B$67&amp;"'!"&amp;"$H$5:$H$500"),E$19,INDIRECT("'"&amp;$B$67&amp;"'!"&amp;"$D$5:$D$500"),$B72)</f>
        <v/>
      </c>
      <c r="F72" s="67">
        <f>COUNTIFS(INDIRECT("'"&amp;$B$67&amp;"'!"&amp;"$H$5:$H$500"),F$19,INDIRECT("'"&amp;$B$67&amp;"'!"&amp;"$D$5:$D$500"),$B72)</f>
        <v/>
      </c>
      <c r="G72" s="67">
        <f>COUNTIFS(INDIRECT("'"&amp;$B$67&amp;"'!"&amp;"$H$5:$H$500"),G$19,INDIRECT("'"&amp;$B$67&amp;"'!"&amp;"$D$5:$D$500"),$B72)</f>
        <v/>
      </c>
      <c r="H72" s="68">
        <f>IFERROR((F72+G72)/C72,0)</f>
        <v/>
      </c>
      <c r="J72" s="67">
        <f>COUNTIFS(INDIRECT("'"&amp;$B$67&amp;"'!"&amp;"$H$5:$H$500"),$D$19,INDIRECT("'"&amp;$B$67&amp;"'!"&amp;"$D$5:$D$500"),$B72, INDIRECT("'"&amp;$B$67&amp;"'!"&amp;"$G$5:$G$500"),J$19)+COUNTIFS(INDIRECT("'"&amp;$B$67&amp;"'!"&amp;"$H$5:$H$500"),$E$19,INDIRECT("'"&amp;$B$67&amp;"'!"&amp;"$D$5:$D$500"),$B72, INDIRECT("'"&amp;$B$67&amp;"'!"&amp;"$G$5:$G$500"),J$19)</f>
        <v/>
      </c>
      <c r="K72" s="67">
        <f>COUNTIFS(INDIRECT("'"&amp;$B$67&amp;"'!"&amp;"$H$5:$H$500"),$D$19,INDIRECT("'"&amp;$B$67&amp;"'!"&amp;"$D$5:$D$500"),$B72, INDIRECT("'"&amp;$B$67&amp;"'!"&amp;"$G$5:$G$500"),K$19)+COUNTIFS(INDIRECT("'"&amp;$B$67&amp;"'!"&amp;"$H$5:$H$500"),$E$19,INDIRECT("'"&amp;$B$67&amp;"'!"&amp;"$D$5:$D$500"),$B72, INDIRECT("'"&amp;$B$67&amp;"'!"&amp;"$G$5:$G$500"),K$19)</f>
        <v/>
      </c>
      <c r="L72" s="67">
        <f>COUNTIFS(INDIRECT("'"&amp;$B$67&amp;"'!"&amp;"$H$5:$H$500"),$D$19,INDIRECT("'"&amp;$B$67&amp;"'!"&amp;"$D$5:$D$500"),$B72, INDIRECT("'"&amp;$B$67&amp;"'!"&amp;"$G$5:$G$500"),L$19)+COUNTIFS(INDIRECT("'"&amp;$B$67&amp;"'!"&amp;"$H$5:$H$500"),$E$19,INDIRECT("'"&amp;$B$67&amp;"'!"&amp;"$D$5:$D$500"),$B72, INDIRECT("'"&amp;$B$67&amp;"'!"&amp;"$G$5:$G$500"),L$19)</f>
        <v/>
      </c>
      <c r="M72" s="67">
        <f>COUNTIFS(INDIRECT("'"&amp;$B$67&amp;"'!"&amp;"$H$5:$H$500"),$D$19,INDIRECT("'"&amp;$B$67&amp;"'!"&amp;"$D$5:$D$500"),$B72, INDIRECT("'"&amp;$B$67&amp;"'!"&amp;"$G$5:$G$500"),M$19)+COUNTIFS(INDIRECT("'"&amp;$B$67&amp;"'!"&amp;"$H$5:$H$500"),$E$19,INDIRECT("'"&amp;$B$67&amp;"'!"&amp;"$D$5:$D$500"),$B72, INDIRECT("'"&amp;$B$67&amp;"'!"&amp;"$G$5:$G$500"),M$19)</f>
        <v/>
      </c>
    </row>
    <row r="73" ht="15" customHeight="1">
      <c r="A73" s="62" t="n"/>
      <c r="B73" s="45" t="inlineStr">
        <is>
          <t>[Input category here]</t>
        </is>
      </c>
      <c r="C73" s="67">
        <f>SUM(D73:G73)</f>
        <v/>
      </c>
      <c r="D73" s="67">
        <f>COUNTIFS(INDIRECT("'"&amp;$B$67&amp;"'!"&amp;"$H$5:$H$500"),D$19,INDIRECT("'"&amp;$B$67&amp;"'!"&amp;"$D$5:$D$500"),$B73)</f>
        <v/>
      </c>
      <c r="E73" s="67">
        <f>COUNTIFS(INDIRECT("'"&amp;$B$67&amp;"'!"&amp;"$H$5:$H$500"),E$19,INDIRECT("'"&amp;$B$67&amp;"'!"&amp;"$D$5:$D$500"),$B73)</f>
        <v/>
      </c>
      <c r="F73" s="67">
        <f>COUNTIFS(INDIRECT("'"&amp;$B$67&amp;"'!"&amp;"$H$5:$H$500"),F$19,INDIRECT("'"&amp;$B$67&amp;"'!"&amp;"$D$5:$D$500"),$B73)</f>
        <v/>
      </c>
      <c r="G73" s="67">
        <f>COUNTIFS(INDIRECT("'"&amp;$B$67&amp;"'!"&amp;"$H$5:$H$500"),G$19,INDIRECT("'"&amp;$B$67&amp;"'!"&amp;"$D$5:$D$500"),$B73)</f>
        <v/>
      </c>
      <c r="H73" s="68">
        <f>IFERROR((F73+G73)/C73,0)</f>
        <v/>
      </c>
      <c r="J73" s="67">
        <f>COUNTIFS(INDIRECT("'"&amp;$B$67&amp;"'!"&amp;"$H$5:$H$500"),$D$19,INDIRECT("'"&amp;$B$67&amp;"'!"&amp;"$D$5:$D$500"),$B73, INDIRECT("'"&amp;$B$67&amp;"'!"&amp;"$G$5:$G$500"),J$19)+COUNTIFS(INDIRECT("'"&amp;$B$67&amp;"'!"&amp;"$H$5:$H$500"),$E$19,INDIRECT("'"&amp;$B$67&amp;"'!"&amp;"$D$5:$D$500"),$B73, INDIRECT("'"&amp;$B$67&amp;"'!"&amp;"$G$5:$G$500"),J$19)</f>
        <v/>
      </c>
      <c r="K73" s="67">
        <f>COUNTIFS(INDIRECT("'"&amp;$B$67&amp;"'!"&amp;"$H$5:$H$500"),$D$19,INDIRECT("'"&amp;$B$67&amp;"'!"&amp;"$D$5:$D$500"),$B73, INDIRECT("'"&amp;$B$67&amp;"'!"&amp;"$G$5:$G$500"),K$19)+COUNTIFS(INDIRECT("'"&amp;$B$67&amp;"'!"&amp;"$H$5:$H$500"),$E$19,INDIRECT("'"&amp;$B$67&amp;"'!"&amp;"$D$5:$D$500"),$B73, INDIRECT("'"&amp;$B$67&amp;"'!"&amp;"$G$5:$G$500"),K$19)</f>
        <v/>
      </c>
      <c r="L73" s="67">
        <f>COUNTIFS(INDIRECT("'"&amp;$B$67&amp;"'!"&amp;"$H$5:$H$500"),$D$19,INDIRECT("'"&amp;$B$67&amp;"'!"&amp;"$D$5:$D$500"),$B73, INDIRECT("'"&amp;$B$67&amp;"'!"&amp;"$G$5:$G$500"),L$19)+COUNTIFS(INDIRECT("'"&amp;$B$67&amp;"'!"&amp;"$H$5:$H$500"),$E$19,INDIRECT("'"&amp;$B$67&amp;"'!"&amp;"$D$5:$D$500"),$B73, INDIRECT("'"&amp;$B$67&amp;"'!"&amp;"$G$5:$G$500"),L$19)</f>
        <v/>
      </c>
      <c r="M73" s="67">
        <f>COUNTIFS(INDIRECT("'"&amp;$B$67&amp;"'!"&amp;"$H$5:$H$500"),$D$19,INDIRECT("'"&amp;$B$67&amp;"'!"&amp;"$D$5:$D$500"),$B73, INDIRECT("'"&amp;$B$67&amp;"'!"&amp;"$G$5:$G$500"),M$19)+COUNTIFS(INDIRECT("'"&amp;$B$67&amp;"'!"&amp;"$H$5:$H$500"),$E$19,INDIRECT("'"&amp;$B$67&amp;"'!"&amp;"$D$5:$D$500"),$B73, INDIRECT("'"&amp;$B$67&amp;"'!"&amp;"$G$5:$G$500"),M$19)</f>
        <v/>
      </c>
    </row>
    <row r="74" ht="15" customHeight="1">
      <c r="A74" s="62" t="n"/>
      <c r="B74" s="45" t="inlineStr">
        <is>
          <t>[Input category here]</t>
        </is>
      </c>
      <c r="C74" s="67">
        <f>SUM(D74:G74)</f>
        <v/>
      </c>
      <c r="D74" s="67">
        <f>COUNTIFS(INDIRECT("'"&amp;$B$67&amp;"'!"&amp;"$H$5:$H$500"),D$19,INDIRECT("'"&amp;$B$67&amp;"'!"&amp;"$D$5:$D$500"),$B74)</f>
        <v/>
      </c>
      <c r="E74" s="67">
        <f>COUNTIFS(INDIRECT("'"&amp;$B$67&amp;"'!"&amp;"$H$5:$H$500"),E$19,INDIRECT("'"&amp;$B$67&amp;"'!"&amp;"$D$5:$D$500"),$B74)</f>
        <v/>
      </c>
      <c r="F74" s="67">
        <f>COUNTIFS(INDIRECT("'"&amp;$B$67&amp;"'!"&amp;"$H$5:$H$500"),F$19,INDIRECT("'"&amp;$B$67&amp;"'!"&amp;"$D$5:$D$500"),$B74)</f>
        <v/>
      </c>
      <c r="G74" s="67">
        <f>COUNTIFS(INDIRECT("'"&amp;$B$67&amp;"'!"&amp;"$H$5:$H$500"),G$19,INDIRECT("'"&amp;$B$67&amp;"'!"&amp;"$D$5:$D$500"),$B74)</f>
        <v/>
      </c>
      <c r="H74" s="68">
        <f>IFERROR((F74+G74)/C74,0)</f>
        <v/>
      </c>
      <c r="I74" s="1" t="n"/>
      <c r="J74" s="67">
        <f>COUNTIFS(INDIRECT("'"&amp;$B$67&amp;"'!"&amp;"$H$5:$H$500"),$D$19,INDIRECT("'"&amp;$B$67&amp;"'!"&amp;"$D$5:$D$500"),$B74, INDIRECT("'"&amp;$B$67&amp;"'!"&amp;"$G$5:$G$500"),J$19)+COUNTIFS(INDIRECT("'"&amp;$B$67&amp;"'!"&amp;"$H$5:$H$500"),$E$19,INDIRECT("'"&amp;$B$67&amp;"'!"&amp;"$D$5:$D$500"),$B74, INDIRECT("'"&amp;$B$67&amp;"'!"&amp;"$G$5:$G$500"),J$19)</f>
        <v/>
      </c>
      <c r="K74" s="67">
        <f>COUNTIFS(INDIRECT("'"&amp;$B$67&amp;"'!"&amp;"$H$5:$H$500"),$D$19,INDIRECT("'"&amp;$B$67&amp;"'!"&amp;"$D$5:$D$500"),$B74, INDIRECT("'"&amp;$B$67&amp;"'!"&amp;"$G$5:$G$500"),K$19)+COUNTIFS(INDIRECT("'"&amp;$B$67&amp;"'!"&amp;"$H$5:$H$500"),$E$19,INDIRECT("'"&amp;$B$67&amp;"'!"&amp;"$D$5:$D$500"),$B74, INDIRECT("'"&amp;$B$67&amp;"'!"&amp;"$G$5:$G$500"),K$19)</f>
        <v/>
      </c>
      <c r="L74" s="67">
        <f>COUNTIFS(INDIRECT("'"&amp;$B$67&amp;"'!"&amp;"$H$5:$H$500"),$D$19,INDIRECT("'"&amp;$B$67&amp;"'!"&amp;"$D$5:$D$500"),$B74, INDIRECT("'"&amp;$B$67&amp;"'!"&amp;"$G$5:$G$500"),L$19)+COUNTIFS(INDIRECT("'"&amp;$B$67&amp;"'!"&amp;"$H$5:$H$500"),$E$19,INDIRECT("'"&amp;$B$67&amp;"'!"&amp;"$D$5:$D$500"),$B74, INDIRECT("'"&amp;$B$67&amp;"'!"&amp;"$G$5:$G$500"),L$19)</f>
        <v/>
      </c>
      <c r="M74" s="67">
        <f>COUNTIFS(INDIRECT("'"&amp;$B$67&amp;"'!"&amp;"$H$5:$H$500"),$D$19,INDIRECT("'"&amp;$B$67&amp;"'!"&amp;"$D$5:$D$500"),$B74, INDIRECT("'"&amp;$B$67&amp;"'!"&amp;"$G$5:$G$500"),M$19)+COUNTIFS(INDIRECT("'"&amp;$B$67&amp;"'!"&amp;"$H$5:$H$500"),$E$19,INDIRECT("'"&amp;$B$67&amp;"'!"&amp;"$D$5:$D$500"),$B74, INDIRECT("'"&amp;$B$67&amp;"'!"&amp;"$G$5:$G$500"),M$19)</f>
        <v/>
      </c>
    </row>
    <row r="75" ht="15" customHeight="1">
      <c r="A75" s="62" t="n"/>
      <c r="B75" s="45" t="inlineStr">
        <is>
          <t>[Input category here]</t>
        </is>
      </c>
      <c r="C75" s="67">
        <f>SUM(D75:G75)</f>
        <v/>
      </c>
      <c r="D75" s="67">
        <f>COUNTIFS(INDIRECT("'"&amp;$B$67&amp;"'!"&amp;"$H$5:$H$500"),D$19,INDIRECT("'"&amp;$B$67&amp;"'!"&amp;"$D$5:$D$500"),$B75)</f>
        <v/>
      </c>
      <c r="E75" s="67">
        <f>COUNTIFS(INDIRECT("'"&amp;$B$67&amp;"'!"&amp;"$H$5:$H$500"),E$19,INDIRECT("'"&amp;$B$67&amp;"'!"&amp;"$D$5:$D$500"),$B75)</f>
        <v/>
      </c>
      <c r="F75" s="67">
        <f>COUNTIFS(INDIRECT("'"&amp;$B$67&amp;"'!"&amp;"$H$5:$H$500"),F$19,INDIRECT("'"&amp;$B$67&amp;"'!"&amp;"$D$5:$D$500"),$B75)</f>
        <v/>
      </c>
      <c r="G75" s="67">
        <f>COUNTIFS(INDIRECT("'"&amp;$B$67&amp;"'!"&amp;"$H$5:$H$500"),G$19,INDIRECT("'"&amp;$B$67&amp;"'!"&amp;"$D$5:$D$500"),$B75)</f>
        <v/>
      </c>
      <c r="H75" s="68">
        <f>IFERROR((F75+G75)/C75,0)</f>
        <v/>
      </c>
      <c r="I75" s="1" t="n"/>
      <c r="J75" s="67">
        <f>COUNTIFS(INDIRECT("'"&amp;$B$67&amp;"'!"&amp;"$H$5:$H$500"),$D$19,INDIRECT("'"&amp;$B$67&amp;"'!"&amp;"$D$5:$D$500"),$B75, INDIRECT("'"&amp;$B$67&amp;"'!"&amp;"$G$5:$G$500"),J$19)+COUNTIFS(INDIRECT("'"&amp;$B$67&amp;"'!"&amp;"$H$5:$H$500"),$E$19,INDIRECT("'"&amp;$B$67&amp;"'!"&amp;"$D$5:$D$500"),$B75, INDIRECT("'"&amp;$B$67&amp;"'!"&amp;"$G$5:$G$500"),J$19)</f>
        <v/>
      </c>
      <c r="K75" s="67">
        <f>COUNTIFS(INDIRECT("'"&amp;$B$67&amp;"'!"&amp;"$H$5:$H$500"),$D$19,INDIRECT("'"&amp;$B$67&amp;"'!"&amp;"$D$5:$D$500"),$B75, INDIRECT("'"&amp;$B$67&amp;"'!"&amp;"$G$5:$G$500"),K$19)+COUNTIFS(INDIRECT("'"&amp;$B$67&amp;"'!"&amp;"$H$5:$H$500"),$E$19,INDIRECT("'"&amp;$B$67&amp;"'!"&amp;"$D$5:$D$500"),$B75, INDIRECT("'"&amp;$B$67&amp;"'!"&amp;"$G$5:$G$500"),K$19)</f>
        <v/>
      </c>
      <c r="L75" s="67">
        <f>COUNTIFS(INDIRECT("'"&amp;$B$67&amp;"'!"&amp;"$H$5:$H$500"),$D$19,INDIRECT("'"&amp;$B$67&amp;"'!"&amp;"$D$5:$D$500"),$B75, INDIRECT("'"&amp;$B$67&amp;"'!"&amp;"$G$5:$G$500"),L$19)+COUNTIFS(INDIRECT("'"&amp;$B$67&amp;"'!"&amp;"$H$5:$H$500"),$E$19,INDIRECT("'"&amp;$B$67&amp;"'!"&amp;"$D$5:$D$500"),$B75, INDIRECT("'"&amp;$B$67&amp;"'!"&amp;"$G$5:$G$500"),L$19)</f>
        <v/>
      </c>
      <c r="M75" s="67">
        <f>COUNTIFS(INDIRECT("'"&amp;$B$67&amp;"'!"&amp;"$H$5:$H$500"),$D$19,INDIRECT("'"&amp;$B$67&amp;"'!"&amp;"$D$5:$D$500"),$B75, INDIRECT("'"&amp;$B$67&amp;"'!"&amp;"$G$5:$G$500"),M$19)+COUNTIFS(INDIRECT("'"&amp;$B$67&amp;"'!"&amp;"$H$5:$H$500"),$E$19,INDIRECT("'"&amp;$B$67&amp;"'!"&amp;"$D$5:$D$500"),$B75, INDIRECT("'"&amp;$B$67&amp;"'!"&amp;"$G$5:$G$500"),M$19)</f>
        <v/>
      </c>
    </row>
    <row r="76" ht="15" customHeight="1">
      <c r="A76" s="62" t="n"/>
      <c r="B76" s="45" t="inlineStr">
        <is>
          <t>[Input category here]</t>
        </is>
      </c>
      <c r="C76" s="67">
        <f>SUM(D76:G76)</f>
        <v/>
      </c>
      <c r="D76" s="67">
        <f>COUNTIFS(INDIRECT("'"&amp;$B$67&amp;"'!"&amp;"$H$5:$H$500"),D$19,INDIRECT("'"&amp;$B$67&amp;"'!"&amp;"$D$5:$D$500"),$B76)</f>
        <v/>
      </c>
      <c r="E76" s="67">
        <f>COUNTIFS(INDIRECT("'"&amp;$B$67&amp;"'!"&amp;"$H$5:$H$500"),E$19,INDIRECT("'"&amp;$B$67&amp;"'!"&amp;"$D$5:$D$500"),$B76)</f>
        <v/>
      </c>
      <c r="F76" s="67">
        <f>COUNTIFS(INDIRECT("'"&amp;$B$67&amp;"'!"&amp;"$H$5:$H$500"),F$19,INDIRECT("'"&amp;$B$67&amp;"'!"&amp;"$D$5:$D$500"),$B76)</f>
        <v/>
      </c>
      <c r="G76" s="67">
        <f>COUNTIFS(INDIRECT("'"&amp;$B$67&amp;"'!"&amp;"$H$5:$H$500"),G$19,INDIRECT("'"&amp;$B$67&amp;"'!"&amp;"$D$5:$D$500"),$B76)</f>
        <v/>
      </c>
      <c r="H76" s="68">
        <f>IFERROR((F76+G76)/C76,0)</f>
        <v/>
      </c>
      <c r="I76" s="1" t="n"/>
      <c r="J76" s="67">
        <f>COUNTIFS(INDIRECT("'"&amp;$B$67&amp;"'!"&amp;"$H$5:$H$500"),$D$19,INDIRECT("'"&amp;$B$67&amp;"'!"&amp;"$D$5:$D$500"),$B76, INDIRECT("'"&amp;$B$67&amp;"'!"&amp;"$G$5:$G$500"),J$19)+COUNTIFS(INDIRECT("'"&amp;$B$67&amp;"'!"&amp;"$H$5:$H$500"),$E$19,INDIRECT("'"&amp;$B$67&amp;"'!"&amp;"$D$5:$D$500"),$B76, INDIRECT("'"&amp;$B$67&amp;"'!"&amp;"$G$5:$G$500"),J$19)</f>
        <v/>
      </c>
      <c r="K76" s="67">
        <f>COUNTIFS(INDIRECT("'"&amp;$B$67&amp;"'!"&amp;"$H$5:$H$500"),$D$19,INDIRECT("'"&amp;$B$67&amp;"'!"&amp;"$D$5:$D$500"),$B76, INDIRECT("'"&amp;$B$67&amp;"'!"&amp;"$G$5:$G$500"),K$19)+COUNTIFS(INDIRECT("'"&amp;$B$67&amp;"'!"&amp;"$H$5:$H$500"),$E$19,INDIRECT("'"&amp;$B$67&amp;"'!"&amp;"$D$5:$D$500"),$B76, INDIRECT("'"&amp;$B$67&amp;"'!"&amp;"$G$5:$G$500"),K$19)</f>
        <v/>
      </c>
      <c r="L76" s="67">
        <f>COUNTIFS(INDIRECT("'"&amp;$B$67&amp;"'!"&amp;"$H$5:$H$500"),$D$19,INDIRECT("'"&amp;$B$67&amp;"'!"&amp;"$D$5:$D$500"),$B76, INDIRECT("'"&amp;$B$67&amp;"'!"&amp;"$G$5:$G$500"),L$19)+COUNTIFS(INDIRECT("'"&amp;$B$67&amp;"'!"&amp;"$H$5:$H$500"),$E$19,INDIRECT("'"&amp;$B$67&amp;"'!"&amp;"$D$5:$D$500"),$B76, INDIRECT("'"&amp;$B$67&amp;"'!"&amp;"$G$5:$G$500"),L$19)</f>
        <v/>
      </c>
      <c r="M76" s="67">
        <f>COUNTIFS(INDIRECT("'"&amp;$B$67&amp;"'!"&amp;"$H$5:$H$500"),$D$19,INDIRECT("'"&amp;$B$67&amp;"'!"&amp;"$D$5:$D$500"),$B76, INDIRECT("'"&amp;$B$67&amp;"'!"&amp;"$G$5:$G$500"),M$19)+COUNTIFS(INDIRECT("'"&amp;$B$67&amp;"'!"&amp;"$H$5:$H$500"),$E$19,INDIRECT("'"&amp;$B$67&amp;"'!"&amp;"$D$5:$D$500"),$B76, INDIRECT("'"&amp;$B$67&amp;"'!"&amp;"$G$5:$G$500"),M$19)</f>
        <v/>
      </c>
    </row>
    <row r="77" ht="15" customHeight="1">
      <c r="A77" s="62" t="n"/>
      <c r="B77" s="45" t="inlineStr">
        <is>
          <t>[Input category here]</t>
        </is>
      </c>
      <c r="C77" s="67">
        <f>SUM(D77:G77)</f>
        <v/>
      </c>
      <c r="D77" s="67">
        <f>COUNTIFS(INDIRECT("'"&amp;$B$67&amp;"'!"&amp;"$H$5:$H$500"),D$19,INDIRECT("'"&amp;$B$67&amp;"'!"&amp;"$D$5:$D$500"),$B77)</f>
        <v/>
      </c>
      <c r="E77" s="67">
        <f>COUNTIFS(INDIRECT("'"&amp;$B$67&amp;"'!"&amp;"$H$5:$H$500"),E$19,INDIRECT("'"&amp;$B$67&amp;"'!"&amp;"$D$5:$D$500"),$B77)</f>
        <v/>
      </c>
      <c r="F77" s="67">
        <f>COUNTIFS(INDIRECT("'"&amp;$B$67&amp;"'!"&amp;"$H$5:$H$500"),F$19,INDIRECT("'"&amp;$B$67&amp;"'!"&amp;"$D$5:$D$500"),$B77)</f>
        <v/>
      </c>
      <c r="G77" s="67">
        <f>COUNTIFS(INDIRECT("'"&amp;$B$67&amp;"'!"&amp;"$H$5:$H$500"),G$19,INDIRECT("'"&amp;$B$67&amp;"'!"&amp;"$D$5:$D$500"),$B77)</f>
        <v/>
      </c>
      <c r="H77" s="68">
        <f>IFERROR((F77+G77)/C77,0)</f>
        <v/>
      </c>
      <c r="I77" s="1" t="n"/>
      <c r="J77" s="67">
        <f>COUNTIFS(INDIRECT("'"&amp;$B$67&amp;"'!"&amp;"$H$5:$H$500"),$D$19,INDIRECT("'"&amp;$B$67&amp;"'!"&amp;"$D$5:$D$500"),$B77, INDIRECT("'"&amp;$B$67&amp;"'!"&amp;"$G$5:$G$500"),J$19)+COUNTIFS(INDIRECT("'"&amp;$B$67&amp;"'!"&amp;"$H$5:$H$500"),$E$19,INDIRECT("'"&amp;$B$67&amp;"'!"&amp;"$D$5:$D$500"),$B77, INDIRECT("'"&amp;$B$67&amp;"'!"&amp;"$G$5:$G$500"),J$19)</f>
        <v/>
      </c>
      <c r="K77" s="67">
        <f>COUNTIFS(INDIRECT("'"&amp;$B$67&amp;"'!"&amp;"$H$5:$H$500"),$D$19,INDIRECT("'"&amp;$B$67&amp;"'!"&amp;"$D$5:$D$500"),$B77, INDIRECT("'"&amp;$B$67&amp;"'!"&amp;"$G$5:$G$500"),K$19)+COUNTIFS(INDIRECT("'"&amp;$B$67&amp;"'!"&amp;"$H$5:$H$500"),$E$19,INDIRECT("'"&amp;$B$67&amp;"'!"&amp;"$D$5:$D$500"),$B77, INDIRECT("'"&amp;$B$67&amp;"'!"&amp;"$G$5:$G$500"),K$19)</f>
        <v/>
      </c>
      <c r="L77" s="67">
        <f>COUNTIFS(INDIRECT("'"&amp;$B$67&amp;"'!"&amp;"$H$5:$H$500"),$D$19,INDIRECT("'"&amp;$B$67&amp;"'!"&amp;"$D$5:$D$500"),$B77, INDIRECT("'"&amp;$B$67&amp;"'!"&amp;"$G$5:$G$500"),L$19)+COUNTIFS(INDIRECT("'"&amp;$B$67&amp;"'!"&amp;"$H$5:$H$500"),$E$19,INDIRECT("'"&amp;$B$67&amp;"'!"&amp;"$D$5:$D$500"),$B77, INDIRECT("'"&amp;$B$67&amp;"'!"&amp;"$G$5:$G$500"),L$19)</f>
        <v/>
      </c>
      <c r="M77" s="67">
        <f>COUNTIFS(INDIRECT("'"&amp;$B$67&amp;"'!"&amp;"$H$5:$H$500"),$D$19,INDIRECT("'"&amp;$B$67&amp;"'!"&amp;"$D$5:$D$500"),$B77, INDIRECT("'"&amp;$B$67&amp;"'!"&amp;"$G$5:$G$500"),M$19)+COUNTIFS(INDIRECT("'"&amp;$B$67&amp;"'!"&amp;"$H$5:$H$500"),$E$19,INDIRECT("'"&amp;$B$67&amp;"'!"&amp;"$D$5:$D$500"),$B77, INDIRECT("'"&amp;$B$67&amp;"'!"&amp;"$G$5:$G$500"),M$19)</f>
        <v/>
      </c>
    </row>
    <row r="78" ht="15" customHeight="1">
      <c r="A78" s="62" t="n"/>
      <c r="B78" s="45" t="inlineStr">
        <is>
          <t>[Input category here]</t>
        </is>
      </c>
      <c r="C78" s="67">
        <f>SUM(D78:G78)</f>
        <v/>
      </c>
      <c r="D78" s="67">
        <f>COUNTIFS(INDIRECT("'"&amp;$B$67&amp;"'!"&amp;"$H$5:$H$500"),D$19,INDIRECT("'"&amp;$B$67&amp;"'!"&amp;"$D$5:$D$500"),$B78)</f>
        <v/>
      </c>
      <c r="E78" s="67">
        <f>COUNTIFS(INDIRECT("'"&amp;$B$67&amp;"'!"&amp;"$H$5:$H$500"),E$19,INDIRECT("'"&amp;$B$67&amp;"'!"&amp;"$D$5:$D$500"),$B78)</f>
        <v/>
      </c>
      <c r="F78" s="67">
        <f>COUNTIFS(INDIRECT("'"&amp;$B$67&amp;"'!"&amp;"$H$5:$H$500"),F$19,INDIRECT("'"&amp;$B$67&amp;"'!"&amp;"$D$5:$D$500"),$B78)</f>
        <v/>
      </c>
      <c r="G78" s="67">
        <f>COUNTIFS(INDIRECT("'"&amp;$B$67&amp;"'!"&amp;"$H$5:$H$500"),G$19,INDIRECT("'"&amp;$B$67&amp;"'!"&amp;"$D$5:$D$500"),$B78)</f>
        <v/>
      </c>
      <c r="H78" s="68">
        <f>IFERROR((F78+G78)/C78,0)</f>
        <v/>
      </c>
      <c r="I78" s="1" t="n"/>
      <c r="J78" s="67">
        <f>COUNTIFS(INDIRECT("'"&amp;$B$67&amp;"'!"&amp;"$H$5:$H$500"),$D$19,INDIRECT("'"&amp;$B$67&amp;"'!"&amp;"$D$5:$D$500"),$B78, INDIRECT("'"&amp;$B$67&amp;"'!"&amp;"$G$5:$G$500"),J$19)+COUNTIFS(INDIRECT("'"&amp;$B$67&amp;"'!"&amp;"$H$5:$H$500"),$E$19,INDIRECT("'"&amp;$B$67&amp;"'!"&amp;"$D$5:$D$500"),$B78, INDIRECT("'"&amp;$B$67&amp;"'!"&amp;"$G$5:$G$500"),J$19)</f>
        <v/>
      </c>
      <c r="K78" s="67">
        <f>COUNTIFS(INDIRECT("'"&amp;$B$67&amp;"'!"&amp;"$H$5:$H$500"),$D$19,INDIRECT("'"&amp;$B$67&amp;"'!"&amp;"$D$5:$D$500"),$B78, INDIRECT("'"&amp;$B$67&amp;"'!"&amp;"$G$5:$G$500"),K$19)+COUNTIFS(INDIRECT("'"&amp;$B$67&amp;"'!"&amp;"$H$5:$H$500"),$E$19,INDIRECT("'"&amp;$B$67&amp;"'!"&amp;"$D$5:$D$500"),$B78, INDIRECT("'"&amp;$B$67&amp;"'!"&amp;"$G$5:$G$500"),K$19)</f>
        <v/>
      </c>
      <c r="L78" s="67">
        <f>COUNTIFS(INDIRECT("'"&amp;$B$67&amp;"'!"&amp;"$H$5:$H$500"),$D$19,INDIRECT("'"&amp;$B$67&amp;"'!"&amp;"$D$5:$D$500"),$B78, INDIRECT("'"&amp;$B$67&amp;"'!"&amp;"$G$5:$G$500"),L$19)+COUNTIFS(INDIRECT("'"&amp;$B$67&amp;"'!"&amp;"$H$5:$H$500"),$E$19,INDIRECT("'"&amp;$B$67&amp;"'!"&amp;"$D$5:$D$500"),$B78, INDIRECT("'"&amp;$B$67&amp;"'!"&amp;"$G$5:$G$500"),L$19)</f>
        <v/>
      </c>
      <c r="M78" s="67">
        <f>COUNTIFS(INDIRECT("'"&amp;$B$67&amp;"'!"&amp;"$H$5:$H$500"),$D$19,INDIRECT("'"&amp;$B$67&amp;"'!"&amp;"$D$5:$D$500"),$B78, INDIRECT("'"&amp;$B$67&amp;"'!"&amp;"$G$5:$G$500"),M$19)+COUNTIFS(INDIRECT("'"&amp;$B$67&amp;"'!"&amp;"$H$5:$H$500"),$E$19,INDIRECT("'"&amp;$B$67&amp;"'!"&amp;"$D$5:$D$500"),$B78, INDIRECT("'"&amp;$B$67&amp;"'!"&amp;"$G$5:$G$500"),M$19)</f>
        <v/>
      </c>
    </row>
    <row r="79" ht="15" customHeight="1">
      <c r="A79" s="62" t="n"/>
      <c r="B79" s="45" t="inlineStr">
        <is>
          <t>[Input category here]</t>
        </is>
      </c>
      <c r="C79" s="67">
        <f>SUM(D79:G79)</f>
        <v/>
      </c>
      <c r="D79" s="67">
        <f>COUNTIFS(INDIRECT("'"&amp;$B$67&amp;"'!"&amp;"$H$5:$H$500"),D$19,INDIRECT("'"&amp;$B$67&amp;"'!"&amp;"$D$5:$D$500"),$B79)</f>
        <v/>
      </c>
      <c r="E79" s="67">
        <f>COUNTIFS(INDIRECT("'"&amp;$B$67&amp;"'!"&amp;"$H$5:$H$500"),E$19,INDIRECT("'"&amp;$B$67&amp;"'!"&amp;"$D$5:$D$500"),$B79)</f>
        <v/>
      </c>
      <c r="F79" s="67">
        <f>COUNTIFS(INDIRECT("'"&amp;$B$67&amp;"'!"&amp;"$H$5:$H$500"),F$19,INDIRECT("'"&amp;$B$67&amp;"'!"&amp;"$D$5:$D$500"),$B79)</f>
        <v/>
      </c>
      <c r="G79" s="67">
        <f>COUNTIFS(INDIRECT("'"&amp;$B$67&amp;"'!"&amp;"$H$5:$H$500"),G$19,INDIRECT("'"&amp;$B$67&amp;"'!"&amp;"$D$5:$D$500"),$B79)</f>
        <v/>
      </c>
      <c r="H79" s="68">
        <f>IFERROR((F79+G79)/C79,0)</f>
        <v/>
      </c>
      <c r="I79" s="1" t="n"/>
      <c r="J79" s="67">
        <f>COUNTIFS(INDIRECT("'"&amp;$B$67&amp;"'!"&amp;"$H$5:$H$500"),$D$19,INDIRECT("'"&amp;$B$67&amp;"'!"&amp;"$D$5:$D$500"),$B79, INDIRECT("'"&amp;$B$67&amp;"'!"&amp;"$G$5:$G$500"),J$19)+COUNTIFS(INDIRECT("'"&amp;$B$67&amp;"'!"&amp;"$H$5:$H$500"),$E$19,INDIRECT("'"&amp;$B$67&amp;"'!"&amp;"$D$5:$D$500"),$B79, INDIRECT("'"&amp;$B$67&amp;"'!"&amp;"$G$5:$G$500"),J$19)</f>
        <v/>
      </c>
      <c r="K79" s="67">
        <f>COUNTIFS(INDIRECT("'"&amp;$B$67&amp;"'!"&amp;"$H$5:$H$500"),$D$19,INDIRECT("'"&amp;$B$67&amp;"'!"&amp;"$D$5:$D$500"),$B79, INDIRECT("'"&amp;$B$67&amp;"'!"&amp;"$G$5:$G$500"),K$19)+COUNTIFS(INDIRECT("'"&amp;$B$67&amp;"'!"&amp;"$H$5:$H$500"),$E$19,INDIRECT("'"&amp;$B$67&amp;"'!"&amp;"$D$5:$D$500"),$B79, INDIRECT("'"&amp;$B$67&amp;"'!"&amp;"$G$5:$G$500"),K$19)</f>
        <v/>
      </c>
      <c r="L79" s="67">
        <f>COUNTIFS(INDIRECT("'"&amp;$B$67&amp;"'!"&amp;"$H$5:$H$500"),$D$19,INDIRECT("'"&amp;$B$67&amp;"'!"&amp;"$D$5:$D$500"),$B79, INDIRECT("'"&amp;$B$67&amp;"'!"&amp;"$G$5:$G$500"),L$19)+COUNTIFS(INDIRECT("'"&amp;$B$67&amp;"'!"&amp;"$H$5:$H$500"),$E$19,INDIRECT("'"&amp;$B$67&amp;"'!"&amp;"$D$5:$D$500"),$B79, INDIRECT("'"&amp;$B$67&amp;"'!"&amp;"$G$5:$G$500"),L$19)</f>
        <v/>
      </c>
      <c r="M79" s="67">
        <f>COUNTIFS(INDIRECT("'"&amp;$B$67&amp;"'!"&amp;"$H$5:$H$500"),$D$19,INDIRECT("'"&amp;$B$67&amp;"'!"&amp;"$D$5:$D$500"),$B79, INDIRECT("'"&amp;$B$67&amp;"'!"&amp;"$G$5:$G$500"),M$19)+COUNTIFS(INDIRECT("'"&amp;$B$67&amp;"'!"&amp;"$H$5:$H$500"),$E$19,INDIRECT("'"&amp;$B$67&amp;"'!"&amp;"$D$5:$D$500"),$B79, INDIRECT("'"&amp;$B$67&amp;"'!"&amp;"$G$5:$G$500"),M$19)</f>
        <v/>
      </c>
    </row>
    <row r="80" ht="15" customHeight="1">
      <c r="A80" s="62" t="n"/>
      <c r="B80" s="45" t="inlineStr">
        <is>
          <t>[Input category here]</t>
        </is>
      </c>
      <c r="C80" s="67">
        <f>SUM(D80:G80)</f>
        <v/>
      </c>
      <c r="D80" s="67">
        <f>COUNTIFS(INDIRECT("'"&amp;$B$67&amp;"'!"&amp;"$H$5:$H$500"),D$19,INDIRECT("'"&amp;$B$67&amp;"'!"&amp;"$D$5:$D$500"),$B80)</f>
        <v/>
      </c>
      <c r="E80" s="67">
        <f>COUNTIFS(INDIRECT("'"&amp;$B$67&amp;"'!"&amp;"$H$5:$H$500"),E$19,INDIRECT("'"&amp;$B$67&amp;"'!"&amp;"$D$5:$D$500"),$B80)</f>
        <v/>
      </c>
      <c r="F80" s="67">
        <f>COUNTIFS(INDIRECT("'"&amp;$B$67&amp;"'!"&amp;"$H$5:$H$500"),F$19,INDIRECT("'"&amp;$B$67&amp;"'!"&amp;"$D$5:$D$500"),$B80)</f>
        <v/>
      </c>
      <c r="G80" s="67">
        <f>COUNTIFS(INDIRECT("'"&amp;$B$67&amp;"'!"&amp;"$H$5:$H$500"),G$19,INDIRECT("'"&amp;$B$67&amp;"'!"&amp;"$D$5:$D$500"),$B80)</f>
        <v/>
      </c>
      <c r="H80" s="68">
        <f>IFERROR((F80+G80)/C80,0)</f>
        <v/>
      </c>
      <c r="I80" s="1" t="n"/>
      <c r="J80" s="67">
        <f>COUNTIFS(INDIRECT("'"&amp;$B$67&amp;"'!"&amp;"$H$5:$H$500"),$D$19,INDIRECT("'"&amp;$B$67&amp;"'!"&amp;"$D$5:$D$500"),$B80, INDIRECT("'"&amp;$B$67&amp;"'!"&amp;"$G$5:$G$500"),J$19)+COUNTIFS(INDIRECT("'"&amp;$B$67&amp;"'!"&amp;"$H$5:$H$500"),$E$19,INDIRECT("'"&amp;$B$67&amp;"'!"&amp;"$D$5:$D$500"),$B80, INDIRECT("'"&amp;$B$67&amp;"'!"&amp;"$G$5:$G$500"),J$19)</f>
        <v/>
      </c>
      <c r="K80" s="67">
        <f>COUNTIFS(INDIRECT("'"&amp;$B$67&amp;"'!"&amp;"$H$5:$H$500"),$D$19,INDIRECT("'"&amp;$B$67&amp;"'!"&amp;"$D$5:$D$500"),$B80, INDIRECT("'"&amp;$B$67&amp;"'!"&amp;"$G$5:$G$500"),K$19)+COUNTIFS(INDIRECT("'"&amp;$B$67&amp;"'!"&amp;"$H$5:$H$500"),$E$19,INDIRECT("'"&amp;$B$67&amp;"'!"&amp;"$D$5:$D$500"),$B80, INDIRECT("'"&amp;$B$67&amp;"'!"&amp;"$G$5:$G$500"),K$19)</f>
        <v/>
      </c>
      <c r="L80" s="67">
        <f>COUNTIFS(INDIRECT("'"&amp;$B$67&amp;"'!"&amp;"$H$5:$H$500"),$D$19,INDIRECT("'"&amp;$B$67&amp;"'!"&amp;"$D$5:$D$500"),$B80, INDIRECT("'"&amp;$B$67&amp;"'!"&amp;"$G$5:$G$500"),L$19)+COUNTIFS(INDIRECT("'"&amp;$B$67&amp;"'!"&amp;"$H$5:$H$500"),$E$19,INDIRECT("'"&amp;$B$67&amp;"'!"&amp;"$D$5:$D$500"),$B80, INDIRECT("'"&amp;$B$67&amp;"'!"&amp;"$G$5:$G$500"),L$19)</f>
        <v/>
      </c>
      <c r="M80" s="67">
        <f>COUNTIFS(INDIRECT("'"&amp;$B$67&amp;"'!"&amp;"$H$5:$H$500"),$D$19,INDIRECT("'"&amp;$B$67&amp;"'!"&amp;"$D$5:$D$500"),$B80, INDIRECT("'"&amp;$B$67&amp;"'!"&amp;"$G$5:$G$500"),M$19)+COUNTIFS(INDIRECT("'"&amp;$B$67&amp;"'!"&amp;"$H$5:$H$500"),$E$19,INDIRECT("'"&amp;$B$67&amp;"'!"&amp;"$D$5:$D$500"),$B80, INDIRECT("'"&amp;$B$67&amp;"'!"&amp;"$G$5:$G$500"),M$19)</f>
        <v/>
      </c>
    </row>
    <row r="81" ht="15" customHeight="1">
      <c r="A81" s="62" t="inlineStr">
        <is>
          <t>x</t>
        </is>
      </c>
      <c r="B81" s="16" t="inlineStr">
        <is>
          <t>Total</t>
        </is>
      </c>
      <c r="C81" s="73">
        <f>SUM(C71:C80)</f>
        <v/>
      </c>
      <c r="D81" s="73">
        <f>SUM(D71:D80)</f>
        <v/>
      </c>
      <c r="E81" s="73">
        <f>SUM(E71:E80)</f>
        <v/>
      </c>
      <c r="F81" s="73">
        <f>SUM(F71:F80)</f>
        <v/>
      </c>
      <c r="G81" s="73">
        <f>SUM(G71:G80)</f>
        <v/>
      </c>
      <c r="H81" s="74">
        <f>IFERROR((F81+G81)/C81,0)</f>
        <v/>
      </c>
      <c r="I81" s="4" t="n"/>
      <c r="J81" s="73">
        <f>SUM(J71:J80)</f>
        <v/>
      </c>
      <c r="K81" s="73">
        <f>SUM(K71:K80)</f>
        <v/>
      </c>
      <c r="L81" s="73">
        <f>SUM(L71:L80)</f>
        <v/>
      </c>
      <c r="M81" s="73">
        <f>SUM(M71:M80)</f>
        <v/>
      </c>
    </row>
    <row r="82">
      <c r="J82" s="4" t="n"/>
      <c r="K82" s="4" t="n"/>
    </row>
    <row r="83">
      <c r="J83" s="4" t="n"/>
      <c r="K83" s="4" t="n"/>
    </row>
    <row r="84">
      <c r="B84" s="45" t="n"/>
      <c r="J84" s="4" t="n"/>
      <c r="K84" s="4" t="n"/>
    </row>
    <row r="85">
      <c r="J85" s="4" t="n"/>
      <c r="K85" s="4" t="n"/>
    </row>
  </sheetData>
  <printOptions horizontalCentered="1"/>
  <pageMargins left="0.5" right="0.5" top="0.75" bottom="0.5" header="0" footer="0.5"/>
  <pageSetup orientation="portrait" scale="72" fitToHeight="0"/>
  <headerFooter alignWithMargins="0">
    <oddHeader/>
    <oddFooter>&amp;L&amp;"Calibri,Regular"&amp;10 &amp;K000000#Confidential&amp;C&amp;G&amp;R&amp;8 &amp;P of &amp;N</oddFooter>
    <evenHeader/>
    <evenFooter/>
    <firstHeader/>
    <firstFooter/>
  </headerFooter>
  <rowBreaks count="1" manualBreakCount="1">
    <brk id="49" min="1" max="12" man="1"/>
  </rowBreaks>
</worksheet>
</file>

<file path=xl/worksheets/sheet2.xml><?xml version="1.0" encoding="utf-8"?>
<worksheet xmlns="http://schemas.openxmlformats.org/spreadsheetml/2006/main">
  <sheetPr>
    <outlinePr summaryBelow="1" summaryRight="1"/>
    <pageSetUpPr fitToPage="1"/>
  </sheetPr>
  <dimension ref="B1:K104"/>
  <sheetViews>
    <sheetView showGridLines="0" tabSelected="1" zoomScale="85" zoomScaleNormal="85" zoomScaleSheetLayoutView="85" zoomScalePageLayoutView="150" workbookViewId="0">
      <pane xSplit="8" ySplit="4" topLeftCell="I5" activePane="bottomRight" state="frozen"/>
      <selection pane="topRight" activeCell="C5" sqref="C5"/>
      <selection pane="bottomLeft" activeCell="C5" sqref="C5"/>
      <selection pane="bottomRight" activeCell="C5" sqref="C5"/>
    </sheetView>
  </sheetViews>
  <sheetFormatPr baseColWidth="8" defaultColWidth="8.53515625" defaultRowHeight="12.45"/>
  <cols>
    <col width="1.53515625" customWidth="1" style="1" min="1" max="1"/>
    <col width="5.53515625" customWidth="1" style="1" min="2" max="2"/>
    <col width="13.4609375" bestFit="1" customWidth="1" style="1" min="3" max="3"/>
    <col width="15.53515625" customWidth="1" style="50" min="4" max="4"/>
    <col width="65.69140625" customWidth="1" style="2" min="5" max="5"/>
    <col width="13.4609375" customWidth="1" style="3" min="6" max="6"/>
    <col width="10.53515625" bestFit="1" customWidth="1" style="1" min="7" max="7"/>
    <col width="10.53515625" customWidth="1" style="1" min="8" max="9"/>
    <col width="65.69140625" customWidth="1" style="3" min="10" max="11"/>
    <col width="8.53515625" customWidth="1" style="1" min="12" max="16384"/>
  </cols>
  <sheetData>
    <row r="1" ht="10.4" customFormat="1" customHeight="1" s="6">
      <c r="B1" s="8" t="n"/>
      <c r="C1" s="8" t="n"/>
      <c r="D1" s="47" t="n"/>
      <c r="G1" s="7" t="n"/>
      <c r="H1" s="7" t="n"/>
      <c r="I1" s="7" t="n"/>
      <c r="J1" s="7" t="n"/>
      <c r="K1" s="7" t="n"/>
    </row>
    <row r="2" ht="20.15" customFormat="1" customHeight="1" s="6">
      <c r="B2" s="32">
        <f>Project&amp;"  |  "&amp;REPLACE(CELL("filename",D1),1,FIND("]",CELL("filename",D1)),"")&amp;" Diligence Tracker"</f>
        <v/>
      </c>
      <c r="C2" s="33" t="n"/>
      <c r="D2" s="48" t="n"/>
      <c r="E2" s="31" t="n"/>
      <c r="F2" s="34" t="n"/>
      <c r="G2" s="31" t="n"/>
      <c r="H2" s="31" t="n"/>
      <c r="I2" s="31" t="n"/>
      <c r="J2" s="31" t="n"/>
      <c r="K2" s="35" t="n"/>
    </row>
    <row r="4" ht="24.9" customFormat="1" customHeight="1" s="23">
      <c r="B4" s="25" t="inlineStr">
        <is>
          <t xml:space="preserve">  #</t>
        </is>
      </c>
      <c r="C4" s="24" t="inlineStr">
        <is>
          <t>Date 
Requested</t>
        </is>
      </c>
      <c r="D4" s="24" t="inlineStr">
        <is>
          <t>Category</t>
        </is>
      </c>
      <c r="E4" s="25" t="inlineStr">
        <is>
          <t>Request / Question</t>
        </is>
      </c>
      <c r="F4" s="24" t="inlineStr">
        <is>
          <t>VDR 
Reference</t>
        </is>
      </c>
      <c r="G4" s="25" t="inlineStr">
        <is>
          <t>Priority</t>
        </is>
      </c>
      <c r="H4" s="25" t="inlineStr">
        <is>
          <t>Status</t>
        </is>
      </c>
      <c r="I4" s="24" t="inlineStr">
        <is>
          <t>Last Update</t>
        </is>
      </c>
      <c r="J4" s="24" t="inlineStr">
        <is>
          <t>Seller's Response</t>
        </is>
      </c>
      <c r="K4" s="24" t="inlineStr">
        <is>
          <t>Basis (from our VDR review)</t>
        </is>
      </c>
    </row>
    <row r="5">
      <c r="B5" s="9" t="n">
        <v>1</v>
      </c>
      <c r="C5" s="76" t="inlineStr">
        <is>
          <t>2026-06-12</t>
        </is>
      </c>
      <c r="D5" s="76" t="inlineStr">
        <is>
          <t>Regulatory &amp; Moratorium</t>
        </is>
      </c>
      <c r="E5" s="77" t="inlineStr">
        <is>
          <t>Where does S10642 stand right now, and how does the project plan to navigate it? We'd want your read on the grandfathering case - whether the completed construction counts as "commencing construction" and which existing permits can be modified rather than newly issued - plus whether you'd support a regulatory closing condition or outside-date if the bill is signed.</t>
        </is>
      </c>
      <c r="F5" s="77" t="inlineStr">
        <is>
          <t>1.1</t>
        </is>
      </c>
      <c r="G5" s="77" t="inlineStr">
        <is>
          <t>Highest</t>
        </is>
      </c>
      <c r="H5" s="77" t="inlineStr">
        <is>
          <t>Open</t>
        </is>
      </c>
      <c r="I5" s="76" t="inlineStr">
        <is>
          <t>2026-06-12</t>
        </is>
      </c>
      <c r="J5" s="77" t="inlineStr"/>
      <c r="K5" s="77" t="inlineStr">
        <is>
          <t>S10642 passed both houses 6/4-6/5/26, awaiting Hochul; at 177 MW Beacon is a covered 'large data center.'</t>
        </is>
      </c>
    </row>
    <row r="6">
      <c r="B6" s="9">
        <f>MAX(B$5:B5)+1</f>
        <v/>
      </c>
      <c r="C6" s="76" t="inlineStr">
        <is>
          <t>2026-06-12</t>
        </is>
      </c>
      <c r="D6" s="76" t="inlineStr">
        <is>
          <t>Power - Interconnection &amp; Studies</t>
        </is>
      </c>
      <c r="E6" s="77" t="inlineStr">
        <is>
          <t>Where does the Interconnection Agreement stand, and can you share the current draft or redline?</t>
        </is>
      </c>
      <c r="F6" s="77" t="inlineStr">
        <is>
          <t>2.2, 2.3</t>
        </is>
      </c>
      <c r="G6" s="77" t="inlineStr">
        <is>
          <t>Highest</t>
        </is>
      </c>
      <c r="H6" s="77" t="inlineStr">
        <is>
          <t>Open</t>
        </is>
      </c>
      <c r="I6" s="76" t="inlineStr">
        <is>
          <t>2026-06-12</t>
        </is>
      </c>
      <c r="J6" s="77" t="inlineStr"/>
      <c r="K6" s="77" t="inlineStr">
        <is>
          <t>CIM projects IA execution Q3 2026; no executed IA in the room.</t>
        </is>
      </c>
    </row>
    <row r="7">
      <c r="B7" s="9">
        <f>MAX(B$5:B6)+1</f>
        <v/>
      </c>
      <c r="C7" s="76" t="inlineStr">
        <is>
          <t>2026-06-12</t>
        </is>
      </c>
      <c r="D7" s="76" t="inlineStr">
        <is>
          <t>Power - Interconnection &amp; Studies</t>
        </is>
      </c>
      <c r="E7" s="77" t="inlineStr">
        <is>
          <t>The SIS estimates roughly 39 months from IA execution for the system upgrades, but the CIM markets first power in 2027. What's the realistic energization date, and what specifically drives the 39 months - the SUF/CTOAF/SASUF upgrades or the substation build itself?</t>
        </is>
      </c>
      <c r="F7" s="78" t="inlineStr">
        <is>
          <t>2.2</t>
        </is>
      </c>
      <c r="G7" s="77" t="inlineStr">
        <is>
          <t>Highest</t>
        </is>
      </c>
      <c r="H7" s="77" t="inlineStr">
        <is>
          <t>Open</t>
        </is>
      </c>
      <c r="I7" s="76" t="inlineStr">
        <is>
          <t>2026-06-12</t>
        </is>
      </c>
      <c r="J7" s="77" t="inlineStr"/>
      <c r="K7" s="77" t="inlineStr">
        <is>
          <t>Direct conflict in the docs: SIS 39-mo-from-IA vs CIM 2027 ramp. Biggest open item from the review.</t>
        </is>
      </c>
    </row>
    <row r="8">
      <c r="B8" s="9">
        <f>MAX(B$5:B7)+1</f>
        <v/>
      </c>
      <c r="C8" s="76" t="inlineStr">
        <is>
          <t>2026-06-12</t>
        </is>
      </c>
      <c r="D8" s="76" t="inlineStr">
        <is>
          <t>Power - Interconnection &amp; Studies</t>
        </is>
      </c>
      <c r="E8" s="77" t="inlineStr">
        <is>
          <t>The Facilities Study Agreement was executed in Feb 2026 with the $90K deposit, but the Facilities Study itself isn't in the room. When does it complete, and can you share the cost and schedule output? That's what binds the SIS's preliminary estimate.</t>
        </is>
      </c>
      <c r="F8" s="77" t="inlineStr">
        <is>
          <t>2.3</t>
        </is>
      </c>
      <c r="G8" s="77" t="inlineStr">
        <is>
          <t>High</t>
        </is>
      </c>
      <c r="H8" s="77" t="inlineStr">
        <is>
          <t>Open</t>
        </is>
      </c>
      <c r="I8" s="76" t="inlineStr">
        <is>
          <t>2026-06-12</t>
        </is>
      </c>
      <c r="J8" s="77" t="inlineStr"/>
      <c r="K8" s="77" t="inlineStr">
        <is>
          <t>FSA present; FS output absent. FSA references a ~150/180-day study and a high-level estimate.</t>
        </is>
      </c>
    </row>
    <row r="9">
      <c r="B9" s="9">
        <f>MAX(B$5:B8)+1</f>
        <v/>
      </c>
      <c r="C9" s="76" t="inlineStr">
        <is>
          <t>2026-06-12</t>
        </is>
      </c>
      <c r="D9" s="76" t="inlineStr">
        <is>
          <t>Power - Interconnection &amp; Studies</t>
        </is>
      </c>
      <c r="E9" s="77" t="inlineStr">
        <is>
          <t>Confirm the two incoming 138 kV feeds deliver true N-1/firm service, and clarify the point of interconnection - the SIS shows an original POI on Line 138-873 and an updated POI on Line 138-872. Which is the basis?</t>
        </is>
      </c>
      <c r="F9" s="77" t="inlineStr">
        <is>
          <t>2.2</t>
        </is>
      </c>
      <c r="G9" s="77" t="inlineStr">
        <is>
          <t>Medium</t>
        </is>
      </c>
      <c r="H9" s="77" t="inlineStr">
        <is>
          <t>Open</t>
        </is>
      </c>
      <c r="I9" s="76" t="inlineStr">
        <is>
          <t>2026-06-12</t>
        </is>
      </c>
      <c r="J9" s="78" t="inlineStr"/>
      <c r="K9" s="77" t="inlineStr">
        <is>
          <t>CIM claims 2N/redundant feeds (N-1 unconfirmed); SIS notes a POI change mid-study.</t>
        </is>
      </c>
    </row>
    <row r="10">
      <c r="B10" s="9">
        <f>MAX(B$5:B9)+1</f>
        <v/>
      </c>
      <c r="C10" s="76" t="inlineStr">
        <is>
          <t>2026-06-12</t>
        </is>
      </c>
      <c r="D10" s="76" t="inlineStr">
        <is>
          <t>Power - Substation &amp; Equipment</t>
        </is>
      </c>
      <c r="E10" s="77" t="inlineStr">
        <is>
          <t>Please clarify the substation build and ownership boundary - the materials indicate PSEG-LI owns the switching station/substation while the buyer funds and builds it. Who constructs what, when does design reach IFC, and does that depend on the Facilities Study (~Aug 2026)?</t>
        </is>
      </c>
      <c r="F10" s="77" t="inlineStr">
        <is>
          <t>2.1, 4.3</t>
        </is>
      </c>
      <c r="G10" s="77" t="inlineStr">
        <is>
          <t>High</t>
        </is>
      </c>
      <c r="H10" s="77" t="inlineStr">
        <is>
          <t>Open</t>
        </is>
      </c>
      <c r="I10" s="76" t="inlineStr">
        <is>
          <t>2026-06-12</t>
        </is>
      </c>
      <c r="J10" s="77" t="inlineStr"/>
      <c r="K10" s="77" t="inlineStr">
        <is>
          <t>PSEG-owns / buyer-builds split is ambiguous; design appears conceptual (ROMs only).</t>
        </is>
      </c>
    </row>
    <row r="11">
      <c r="B11" s="9">
        <f>MAX(B$5:B10)+1</f>
        <v/>
      </c>
      <c r="C11" s="76" t="inlineStr">
        <is>
          <t>2026-06-12</t>
        </is>
      </c>
      <c r="D11" s="76" t="inlineStr">
        <is>
          <t>Power - Substation &amp; Equipment</t>
        </is>
      </c>
      <c r="E11" s="77" t="inlineStr">
        <is>
          <t>The room has two substation ROMs - Clune (~$69.4M) and Hunter Roberts (~$84.0M). Which is the basis of design, and what accounts for the ~$15M gap?</t>
        </is>
      </c>
      <c r="F11" s="77" t="inlineStr">
        <is>
          <t>4.3</t>
        </is>
      </c>
      <c r="G11" s="77" t="inlineStr">
        <is>
          <t>High</t>
        </is>
      </c>
      <c r="H11" s="77" t="inlineStr">
        <is>
          <t>Open</t>
        </is>
      </c>
      <c r="I11" s="76" t="inlineStr">
        <is>
          <t>2026-06-12</t>
        </is>
      </c>
      <c r="J11" s="77" t="inlineStr"/>
      <c r="K11" s="77" t="inlineStr">
        <is>
          <t>Two divergent ROMs reviewed (Clune 3/2/26; Hunter Roberts 3/5/26).</t>
        </is>
      </c>
    </row>
    <row r="12">
      <c r="B12" s="9">
        <f>MAX(B$5:B11)+1</f>
        <v/>
      </c>
      <c r="C12" s="76" t="inlineStr">
        <is>
          <t>2026-06-12</t>
        </is>
      </c>
      <c r="D12" s="76" t="inlineStr">
        <is>
          <t>Power - Substation &amp; Equipment</t>
        </is>
      </c>
      <c r="E12" s="77" t="inlineStr">
        <is>
          <t>What's the procurement status, lead time, and any quotes or factory slots for the 4 x 66 MVA transformers, HV breakers, and switchgear? At ~2-year lead these gate first power - has anything been ordered or reserved?</t>
        </is>
      </c>
      <c r="F12" s="77" t="inlineStr">
        <is>
          <t>4.3</t>
        </is>
      </c>
      <c r="G12" s="77" t="inlineStr">
        <is>
          <t>High</t>
        </is>
      </c>
      <c r="H12" s="77" t="inlineStr">
        <is>
          <t>Open</t>
        </is>
      </c>
      <c r="I12" s="76" t="inlineStr">
        <is>
          <t>2026-06-12</t>
        </is>
      </c>
      <c r="J12" s="77" t="inlineStr"/>
      <c r="K12" s="77" t="inlineStr">
        <is>
          <t>Hunter Roberts shows ~40-52 wk furnish + ~48-52 wk install; nothing ordered per the room.</t>
        </is>
      </c>
    </row>
    <row r="13">
      <c r="B13" s="9">
        <f>MAX(B$5:B12)+1</f>
        <v/>
      </c>
      <c r="C13" s="76" t="inlineStr">
        <is>
          <t>2026-06-12</t>
        </is>
      </c>
      <c r="D13" s="76" t="inlineStr">
        <is>
          <t>Power - Commercial / ESA</t>
        </is>
      </c>
      <c r="E13" s="77" t="inlineStr">
        <is>
          <t>Can you provide the draft Electric Service Agreement and confirm the rate, term, escalation, and credit/security? The CIM's ~$0.15/kWh is indicative and explicitly 'subject to the executed ESA.'</t>
        </is>
      </c>
      <c r="F13" s="77" t="inlineStr">
        <is>
          <t>1.1</t>
        </is>
      </c>
      <c r="G13" s="77" t="inlineStr">
        <is>
          <t>Highest</t>
        </is>
      </c>
      <c r="H13" s="77" t="inlineStr">
        <is>
          <t>Open</t>
        </is>
      </c>
      <c r="I13" s="76" t="inlineStr">
        <is>
          <t>2026-06-12</t>
        </is>
      </c>
      <c r="J13" s="77" t="inlineStr"/>
      <c r="K13" s="77" t="inlineStr">
        <is>
          <t>No ESA in the room; CIM flags 177 MW as subject to the executed ESA (projected Q4 2026).</t>
        </is>
      </c>
    </row>
    <row r="14">
      <c r="B14" s="9">
        <f>MAX(B$5:B13)+1</f>
        <v/>
      </c>
      <c r="C14" s="76" t="inlineStr">
        <is>
          <t>2026-06-12</t>
        </is>
      </c>
      <c r="D14" s="76" t="inlineStr">
        <is>
          <t>Title, Liens &amp; Encumbrances</t>
        </is>
      </c>
      <c r="E14" s="77" t="inlineStr">
        <is>
          <t>Confirm the payoff/discharge of the Bank OZK building loan (~$52.62M) and release of the Sunbelt Rentals mechanics lien (~$30,539) so clean title is delivered at closing.</t>
        </is>
      </c>
      <c r="F14" s="77" t="inlineStr">
        <is>
          <t>3.1</t>
        </is>
      </c>
      <c r="G14" s="77" t="inlineStr">
        <is>
          <t>High</t>
        </is>
      </c>
      <c r="H14" s="77" t="inlineStr">
        <is>
          <t>Open</t>
        </is>
      </c>
      <c r="I14" s="76" t="inlineStr">
        <is>
          <t>2026-06-12</t>
        </is>
      </c>
      <c r="J14" s="77" t="inlineStr"/>
      <c r="K14" s="77" t="inlineStr">
        <is>
          <t>Schedule B (Title No. 917082): OZK building loan + open Sunbelt mechanics lien.</t>
        </is>
      </c>
    </row>
    <row r="15">
      <c r="B15" s="9">
        <f>MAX(B$5:B14)+1</f>
        <v/>
      </c>
      <c r="C15" s="76" t="inlineStr">
        <is>
          <t>2026-06-12</t>
        </is>
      </c>
      <c r="D15" s="76" t="inlineStr">
        <is>
          <t>Title, Liens &amp; Encumbrances</t>
        </is>
      </c>
      <c r="E15" s="77" t="inlineStr">
        <is>
          <t>Please walk the Schedule B exceptions on Title No. 917082 - in particular the multiple LILCO/LIPA utility easements and the LIE access-restriction takings - and flag which burden the developable area or the planned substation site.</t>
        </is>
      </c>
      <c r="F15" s="77" t="inlineStr">
        <is>
          <t>3.1, 3.2</t>
        </is>
      </c>
      <c r="G15" s="77" t="inlineStr">
        <is>
          <t>High</t>
        </is>
      </c>
      <c r="H15" s="77" t="inlineStr">
        <is>
          <t>Open</t>
        </is>
      </c>
      <c r="I15" s="76" t="inlineStr">
        <is>
          <t>2026-06-12</t>
        </is>
      </c>
      <c r="J15" s="77" t="inlineStr"/>
      <c r="K15" s="77" t="inlineStr">
        <is>
          <t>Numerous recorded LILCO/LIPA and Long Island Expressway easements in Schedule B.</t>
        </is>
      </c>
    </row>
    <row r="16">
      <c r="B16" s="9">
        <f>MAX(B$5:B15)+1</f>
        <v/>
      </c>
      <c r="C16" s="76" t="inlineStr">
        <is>
          <t>2026-06-12</t>
        </is>
      </c>
      <c r="D16" s="76" t="inlineStr">
        <is>
          <t>IDA / PILOT / Incentives</t>
        </is>
      </c>
      <c r="E16" s="77" t="inlineStr">
        <is>
          <t>The title shows a Town of Brookhaven IDA lease/leaseback (recorded 3/1/2023), but the IDA documents aren't in the room. Please add the Company Lease, Lease &amp; Project Agreement, and PILOT schedule, and explain the consent path for change of use/control, recapture exposure, and whether the PILOT can transfer or be renegotiated for data-center use.</t>
        </is>
      </c>
      <c r="F16" s="77" t="inlineStr">
        <is>
          <t>Not in VDR - request</t>
        </is>
      </c>
      <c r="G16" s="77" t="inlineStr">
        <is>
          <t>High</t>
        </is>
      </c>
      <c r="H16" s="77" t="inlineStr">
        <is>
          <t>Open</t>
        </is>
      </c>
      <c r="I16" s="76" t="inlineStr">
        <is>
          <t>2026-06-12</t>
        </is>
      </c>
      <c r="J16" s="77" t="inlineStr"/>
      <c r="K16" s="77" t="inlineStr">
        <is>
          <t>IDA appears only as a Schedule B exception; VDR has no IDA folder.</t>
        </is>
      </c>
    </row>
    <row r="17">
      <c r="B17" s="9">
        <f>MAX(B$5:B16)+1</f>
        <v/>
      </c>
      <c r="C17" s="76" t="inlineStr">
        <is>
          <t>2026-06-12</t>
        </is>
      </c>
      <c r="D17" s="76" t="inlineStr">
        <is>
          <t>Land, Easements &amp; Access</t>
        </is>
      </c>
      <c r="E17" s="77" t="inlineStr">
        <is>
          <t>Provide the recorded Central Pine Barrens conservation easement (12/6/2022) and its 4/19/2023 amendment, the resulting protected/non-buildable area, and what the Central Pine Barrens Commission requires to approve ground disturbance for the substation and generator yards.</t>
        </is>
      </c>
      <c r="F17" s="77" t="inlineStr">
        <is>
          <t>3.1 - request instrument</t>
        </is>
      </c>
      <c r="G17" s="77" t="inlineStr">
        <is>
          <t>High</t>
        </is>
      </c>
      <c r="H17" s="77" t="inlineStr">
        <is>
          <t>Open</t>
        </is>
      </c>
      <c r="I17" s="76" t="inlineStr">
        <is>
          <t>2026-06-12</t>
        </is>
      </c>
      <c r="J17" s="77" t="inlineStr"/>
      <c r="K17" s="77" t="inlineStr">
        <is>
          <t>Conservation easement in Schedule B; net buildable acreage never quantified in the CIM.</t>
        </is>
      </c>
    </row>
    <row r="18">
      <c r="B18" s="9">
        <f>MAX(B$5:B17)+1</f>
        <v/>
      </c>
      <c r="C18" s="76" t="inlineStr">
        <is>
          <t>2026-06-12</t>
        </is>
      </c>
      <c r="D18" s="76" t="inlineStr">
        <is>
          <t>Land, Easements &amp; Access</t>
        </is>
      </c>
      <c r="E18" s="77" t="inlineStr">
        <is>
          <t>Confirm curb-cut and ingress/egress rights off the LIE North Service Road given the State access-restriction easements, and whether an oversize/heavy-haul route for the transformers has been coordinated with NYSDOT.</t>
        </is>
      </c>
      <c r="F18" s="77" t="inlineStr">
        <is>
          <t>3.2</t>
        </is>
      </c>
      <c r="G18" s="77" t="inlineStr">
        <is>
          <t>Medium</t>
        </is>
      </c>
      <c r="H18" s="77" t="inlineStr">
        <is>
          <t>Open</t>
        </is>
      </c>
      <c r="I18" s="76" t="inlineStr">
        <is>
          <t>2026-06-12</t>
        </is>
      </c>
      <c r="J18" s="77" t="inlineStr"/>
      <c r="K18" s="77" t="inlineStr">
        <is>
          <t>LIE access-restriction takings in Schedule B; transformers are oversize loads.</t>
        </is>
      </c>
    </row>
    <row r="19">
      <c r="B19" s="9">
        <f>MAX(B$5:B18)+1</f>
        <v/>
      </c>
      <c r="C19" s="76" t="inlineStr">
        <is>
          <t>2026-06-12</t>
        </is>
      </c>
      <c r="D19" s="76" t="inlineStr">
        <is>
          <t>Environmental &amp; Aquifer</t>
        </is>
      </c>
      <c r="E19" s="77" t="inlineStr">
        <is>
          <t>The Phase I (VERTEX, 7/29/2022) predates construction and is ~4 years old, and the CIM states no wetlands delineation was completed. Please refresh the Phase I for the as-built campus and provide the wetlands delineation and threatened &amp; endangered species report.</t>
        </is>
      </c>
      <c r="F19" s="77" t="inlineStr">
        <is>
          <t>5.1 - request wetlands/species</t>
        </is>
      </c>
      <c r="G19" s="77" t="inlineStr">
        <is>
          <t>High</t>
        </is>
      </c>
      <c r="H19" s="77" t="inlineStr">
        <is>
          <t>Open</t>
        </is>
      </c>
      <c r="I19" s="76" t="inlineStr">
        <is>
          <t>2026-06-12</t>
        </is>
      </c>
      <c r="J19" s="77" t="inlineStr"/>
      <c r="K19" s="77" t="inlineStr">
        <is>
          <t>Phase I is stale/pre-construction; CIM says wetlands delineation not done; species 'clearance' asserted with no standalone report.</t>
        </is>
      </c>
    </row>
    <row r="20">
      <c r="B20" s="9">
        <f>MAX(B$5:B19)+1</f>
        <v/>
      </c>
      <c r="C20" s="76" t="inlineStr">
        <is>
          <t>2026-06-12</t>
        </is>
      </c>
      <c r="D20" s="76" t="inlineStr">
        <is>
          <t>Environmental &amp; Aquifer</t>
        </is>
      </c>
      <c r="E20" s="77" t="inlineStr">
        <is>
          <t>Identify the exact groundwater designation (Central Pine Barrens CGA / Special Groundwater Protection Area / Suffolk County Article 6) and any limits on diesel/chemical storage and stormwater recharge over the sole-source aquifer - relevant to a large backup-generator fleet.</t>
        </is>
      </c>
      <c r="F20" s="77" t="inlineStr">
        <is>
          <t>1.1, 3.1</t>
        </is>
      </c>
      <c r="G20" s="77" t="inlineStr">
        <is>
          <t>Medium</t>
        </is>
      </c>
      <c r="H20" s="77" t="inlineStr">
        <is>
          <t>Open</t>
        </is>
      </c>
      <c r="I20" s="76" t="inlineStr">
        <is>
          <t>2026-06-12</t>
        </is>
      </c>
      <c r="J20" s="77" t="inlineStr"/>
      <c r="K20" s="77" t="inlineStr">
        <is>
          <t>CIM flags a 'hydrogeologic sensitive zone'; designation and constraints unconfirmed.</t>
        </is>
      </c>
    </row>
    <row r="21">
      <c r="B21" s="9">
        <f>MAX(B$5:B20)+1</f>
        <v/>
      </c>
      <c r="C21" s="76" t="inlineStr">
        <is>
          <t>2026-06-12</t>
        </is>
      </c>
      <c r="D21" s="76" t="inlineStr">
        <is>
          <t>Geotech &amp; Conversion</t>
        </is>
      </c>
      <c r="E21" s="77" t="inlineStr">
        <is>
          <t>The Tectonic geotech (12/6/2021) gives 2 tsf net allowable bearing but was designed for warehouse loads. Has it been validated for data-center equipment - transformer/UPS/generator pads and liquid-cooling slab loads - against the 7-inch / 800 PSF slab?</t>
        </is>
      </c>
      <c r="F21" s="77" t="inlineStr">
        <is>
          <t>5.2</t>
        </is>
      </c>
      <c r="G21" s="77" t="inlineStr">
        <is>
          <t>High</t>
        </is>
      </c>
      <c r="H21" s="77" t="inlineStr">
        <is>
          <t>Open</t>
        </is>
      </c>
      <c r="I21" s="76" t="inlineStr">
        <is>
          <t>2026-06-12</t>
        </is>
      </c>
      <c r="J21" s="77" t="inlineStr"/>
      <c r="K21" s="77" t="inlineStr">
        <is>
          <t>Geotech reviewed: Class D, no liquefaction, 2 tsf - sized for warehouses, not DC equipment.</t>
        </is>
      </c>
    </row>
    <row r="22">
      <c r="B22" s="9">
        <f>MAX(B$5:B21)+1</f>
        <v/>
      </c>
      <c r="C22" s="76" t="inlineStr">
        <is>
          <t>2026-06-12</t>
        </is>
      </c>
      <c r="D22" s="76" t="inlineStr">
        <is>
          <t>Zoning, Permitting &amp; Air</t>
        </is>
      </c>
      <c r="E22" s="77" t="inlineStr">
        <is>
          <t>Data center is a permitted R&amp;D use, but the change-of-use as a data center hasn't been filed. Please share the remaining-approvals matrix (Town change-of-use, CPBJPPC, SCDHS), the Minor Site Plan status, and whether SEQRA is triggered.</t>
        </is>
      </c>
      <c r="F22" s="77" t="inlineStr">
        <is>
          <t>3.3</t>
        </is>
      </c>
      <c r="G22" s="77" t="inlineStr">
        <is>
          <t>High</t>
        </is>
      </c>
      <c r="H22" s="77" t="inlineStr">
        <is>
          <t>Open</t>
        </is>
      </c>
      <c r="I22" s="76" t="inlineStr">
        <is>
          <t>2026-06-12</t>
        </is>
      </c>
      <c r="J22" s="77" t="inlineStr"/>
      <c r="K22" s="77" t="inlineStr">
        <is>
          <t>Zoning memo (Certilman Balin) confirms the use but the DC change-of-use isn't yet filed.</t>
        </is>
      </c>
    </row>
    <row r="23">
      <c r="B23" s="9">
        <f>MAX(B$5:B22)+1</f>
        <v/>
      </c>
      <c r="C23" s="10" t="n"/>
      <c r="D23" s="49" t="n"/>
      <c r="E23" s="21" t="n"/>
      <c r="F23" s="22" t="n"/>
      <c r="G23" s="9" t="n"/>
      <c r="H23" s="9" t="n"/>
      <c r="I23" s="10" t="n"/>
      <c r="J23" s="11" t="n"/>
      <c r="K23" s="11" t="n"/>
    </row>
    <row r="24">
      <c r="B24" s="9">
        <f>MAX(B$5:B23)+1</f>
        <v/>
      </c>
      <c r="C24" s="10" t="n"/>
      <c r="D24" s="49" t="n"/>
      <c r="E24" s="21" t="n"/>
      <c r="F24" s="22" t="n"/>
      <c r="G24" s="9" t="n"/>
      <c r="H24" s="9" t="n"/>
      <c r="I24" s="10" t="n"/>
      <c r="J24" s="11" t="n"/>
      <c r="K24" s="11" t="n"/>
    </row>
    <row r="25">
      <c r="B25" s="9">
        <f>MAX(B$5:B24)+1</f>
        <v/>
      </c>
      <c r="C25" s="10" t="n"/>
      <c r="D25" s="49" t="n"/>
      <c r="E25" s="21" t="n"/>
      <c r="F25" s="22" t="n"/>
      <c r="G25" s="9" t="n"/>
      <c r="H25" s="9" t="n"/>
      <c r="I25" s="10" t="n"/>
      <c r="J25" s="11" t="n"/>
      <c r="K25" s="11" t="n"/>
    </row>
    <row r="26">
      <c r="B26" s="9">
        <f>MAX(B$5:B25)+1</f>
        <v/>
      </c>
      <c r="C26" s="10" t="n"/>
      <c r="D26" s="49" t="n"/>
      <c r="E26" s="21" t="n"/>
      <c r="F26" s="22" t="n"/>
      <c r="G26" s="9" t="n"/>
      <c r="H26" s="9" t="n"/>
      <c r="I26" s="10" t="n"/>
      <c r="J26" s="11" t="n"/>
      <c r="K26" s="11" t="n"/>
    </row>
    <row r="27">
      <c r="B27" s="9">
        <f>MAX(B$5:B26)+1</f>
        <v/>
      </c>
      <c r="C27" s="10" t="n"/>
      <c r="D27" s="49" t="n"/>
      <c r="E27" s="21" t="n"/>
      <c r="F27" s="22" t="n"/>
      <c r="G27" s="9" t="n"/>
      <c r="H27" s="9" t="n"/>
      <c r="I27" s="10" t="n"/>
      <c r="J27" s="11" t="n"/>
      <c r="K27" s="11" t="n"/>
    </row>
    <row r="28">
      <c r="B28" s="9">
        <f>MAX(B$5:B27)+1</f>
        <v/>
      </c>
      <c r="C28" s="10" t="n"/>
      <c r="D28" s="49" t="n"/>
      <c r="E28" s="21" t="n"/>
      <c r="F28" s="22" t="n"/>
      <c r="G28" s="9" t="n"/>
      <c r="H28" s="9" t="n"/>
      <c r="I28" s="10" t="n"/>
      <c r="J28" s="11" t="n"/>
      <c r="K28" s="11" t="n"/>
    </row>
    <row r="29">
      <c r="B29" s="9">
        <f>MAX(B$5:B28)+1</f>
        <v/>
      </c>
      <c r="C29" s="10" t="n"/>
      <c r="D29" s="49" t="n"/>
      <c r="E29" s="21" t="n"/>
      <c r="F29" s="22" t="n"/>
      <c r="G29" s="9" t="n"/>
      <c r="H29" s="9" t="n"/>
      <c r="I29" s="10" t="n"/>
      <c r="J29" s="11" t="n"/>
      <c r="K29" s="11" t="n"/>
    </row>
    <row r="30">
      <c r="B30" s="9">
        <f>MAX(B$5:B29)+1</f>
        <v/>
      </c>
      <c r="C30" s="10" t="n"/>
      <c r="D30" s="49" t="n"/>
      <c r="E30" s="21" t="n"/>
      <c r="F30" s="22" t="n"/>
      <c r="G30" s="9" t="n"/>
      <c r="H30" s="9" t="n"/>
      <c r="I30" s="10" t="n"/>
      <c r="J30" s="11" t="n"/>
      <c r="K30" s="11" t="n"/>
    </row>
    <row r="31">
      <c r="B31" s="9">
        <f>MAX(B$5:B30)+1</f>
        <v/>
      </c>
      <c r="C31" s="10" t="n"/>
      <c r="D31" s="49" t="n"/>
      <c r="E31" s="21" t="n"/>
      <c r="F31" s="22" t="n"/>
      <c r="G31" s="9" t="n"/>
      <c r="H31" s="9" t="n"/>
      <c r="I31" s="10" t="n"/>
      <c r="J31" s="11" t="n"/>
      <c r="K31" s="11" t="n"/>
    </row>
    <row r="32">
      <c r="B32" s="9">
        <f>MAX(B$5:B31)+1</f>
        <v/>
      </c>
      <c r="C32" s="10" t="n"/>
      <c r="D32" s="49" t="n"/>
      <c r="E32" s="21" t="n"/>
      <c r="F32" s="22" t="n"/>
      <c r="G32" s="9" t="n"/>
      <c r="H32" s="9" t="n"/>
      <c r="I32" s="10" t="n"/>
      <c r="J32" s="11" t="n"/>
      <c r="K32" s="11" t="n"/>
    </row>
    <row r="33">
      <c r="B33" s="9">
        <f>MAX(B$5:B32)+1</f>
        <v/>
      </c>
      <c r="C33" s="10" t="n"/>
      <c r="D33" s="49" t="n"/>
      <c r="E33" s="21" t="n"/>
      <c r="F33" s="22" t="n"/>
      <c r="G33" s="9" t="n"/>
      <c r="H33" s="9" t="n"/>
      <c r="I33" s="10" t="n"/>
      <c r="J33" s="11" t="n"/>
      <c r="K33" s="11" t="n"/>
    </row>
    <row r="34">
      <c r="B34" s="9">
        <f>MAX(B$5:B33)+1</f>
        <v/>
      </c>
      <c r="C34" s="10" t="n"/>
      <c r="D34" s="49" t="n"/>
      <c r="E34" s="21" t="n"/>
      <c r="F34" s="22" t="n"/>
      <c r="G34" s="9" t="n"/>
      <c r="H34" s="9" t="n"/>
      <c r="I34" s="10" t="n"/>
      <c r="J34" s="11" t="n"/>
      <c r="K34" s="11" t="n"/>
    </row>
    <row r="35">
      <c r="B35" s="9">
        <f>MAX(B$5:B34)+1</f>
        <v/>
      </c>
      <c r="C35" s="10" t="n"/>
      <c r="D35" s="49" t="n"/>
      <c r="E35" s="21" t="n"/>
      <c r="F35" s="22" t="n"/>
      <c r="G35" s="9" t="n"/>
      <c r="H35" s="9" t="n"/>
      <c r="I35" s="10" t="n"/>
      <c r="J35" s="11" t="n"/>
      <c r="K35" s="11" t="n"/>
    </row>
    <row r="36">
      <c r="B36" s="9">
        <f>MAX(B$5:B35)+1</f>
        <v/>
      </c>
      <c r="C36" s="10" t="n"/>
      <c r="D36" s="49" t="n"/>
      <c r="E36" s="21" t="n"/>
      <c r="F36" s="22" t="n"/>
      <c r="G36" s="9" t="n"/>
      <c r="H36" s="9" t="n"/>
      <c r="I36" s="10" t="n"/>
      <c r="J36" s="11" t="n"/>
      <c r="K36" s="11" t="n"/>
    </row>
    <row r="37">
      <c r="B37" s="9">
        <f>MAX(B$5:B36)+1</f>
        <v/>
      </c>
      <c r="C37" s="10" t="n"/>
      <c r="D37" s="49" t="n"/>
      <c r="E37" s="21" t="n"/>
      <c r="F37" s="22" t="n"/>
      <c r="G37" s="9" t="n"/>
      <c r="H37" s="9" t="n"/>
      <c r="I37" s="10" t="n"/>
      <c r="J37" s="11" t="n"/>
      <c r="K37" s="11" t="n"/>
    </row>
    <row r="38">
      <c r="B38" s="9">
        <f>MAX(B$5:B37)+1</f>
        <v/>
      </c>
      <c r="C38" s="10" t="n"/>
      <c r="D38" s="49" t="n"/>
      <c r="E38" s="21" t="n"/>
      <c r="F38" s="22" t="n"/>
      <c r="G38" s="9" t="n"/>
      <c r="H38" s="9" t="n"/>
      <c r="I38" s="10" t="n"/>
      <c r="J38" s="11" t="n"/>
      <c r="K38" s="11" t="n"/>
    </row>
    <row r="39">
      <c r="B39" s="9">
        <f>MAX(B$5:B38)+1</f>
        <v/>
      </c>
      <c r="C39" s="10" t="n"/>
      <c r="D39" s="49" t="n"/>
      <c r="E39" s="21" t="n"/>
      <c r="F39" s="22" t="n"/>
      <c r="G39" s="9" t="n"/>
      <c r="H39" s="9" t="n"/>
      <c r="I39" s="10" t="n"/>
      <c r="J39" s="11" t="n"/>
      <c r="K39" s="11" t="n"/>
    </row>
    <row r="40">
      <c r="B40" s="9">
        <f>MAX(B$5:B39)+1</f>
        <v/>
      </c>
      <c r="C40" s="10" t="n"/>
      <c r="D40" s="49" t="n"/>
      <c r="E40" s="21" t="n"/>
      <c r="F40" s="22" t="n"/>
      <c r="G40" s="9" t="n"/>
      <c r="H40" s="9" t="n"/>
      <c r="I40" s="10" t="n"/>
      <c r="J40" s="11" t="n"/>
      <c r="K40" s="11" t="n"/>
    </row>
    <row r="41">
      <c r="B41" s="9">
        <f>MAX(B$5:B40)+1</f>
        <v/>
      </c>
      <c r="C41" s="10" t="n"/>
      <c r="D41" s="49" t="n"/>
      <c r="E41" s="21" t="n"/>
      <c r="F41" s="22" t="n"/>
      <c r="G41" s="9" t="n"/>
      <c r="H41" s="9" t="n"/>
      <c r="I41" s="10" t="n"/>
      <c r="J41" s="11" t="n"/>
      <c r="K41" s="11" t="n"/>
    </row>
    <row r="42">
      <c r="B42" s="9">
        <f>MAX(B$5:B41)+1</f>
        <v/>
      </c>
      <c r="C42" s="10" t="n"/>
      <c r="D42" s="49" t="n"/>
      <c r="E42" s="21" t="n"/>
      <c r="F42" s="22" t="n"/>
      <c r="G42" s="9" t="n"/>
      <c r="H42" s="9" t="n"/>
      <c r="I42" s="10" t="n"/>
      <c r="J42" s="11" t="n"/>
      <c r="K42" s="11" t="n"/>
    </row>
    <row r="43">
      <c r="B43" s="9">
        <f>MAX(B$5:B42)+1</f>
        <v/>
      </c>
      <c r="C43" s="10" t="n"/>
      <c r="D43" s="49" t="n"/>
      <c r="E43" s="21" t="n"/>
      <c r="F43" s="22" t="n"/>
      <c r="G43" s="9" t="n"/>
      <c r="H43" s="9" t="n"/>
      <c r="I43" s="10" t="n"/>
      <c r="J43" s="11" t="n"/>
      <c r="K43" s="11" t="n"/>
    </row>
    <row r="44">
      <c r="B44" s="9">
        <f>MAX(B$5:B43)+1</f>
        <v/>
      </c>
      <c r="C44" s="10" t="n"/>
      <c r="D44" s="49" t="n"/>
      <c r="E44" s="21" t="n"/>
      <c r="F44" s="22" t="n"/>
      <c r="G44" s="9" t="n"/>
      <c r="H44" s="9" t="n"/>
      <c r="I44" s="10" t="n"/>
      <c r="J44" s="11" t="n"/>
      <c r="K44" s="11" t="n"/>
    </row>
    <row r="45">
      <c r="B45" s="9">
        <f>MAX(B$5:B44)+1</f>
        <v/>
      </c>
      <c r="C45" s="10" t="n"/>
      <c r="D45" s="49" t="n"/>
      <c r="E45" s="21" t="n"/>
      <c r="F45" s="22" t="n"/>
      <c r="G45" s="9" t="n"/>
      <c r="H45" s="9" t="n"/>
      <c r="I45" s="10" t="n"/>
      <c r="J45" s="11" t="n"/>
      <c r="K45" s="11" t="n"/>
    </row>
    <row r="46">
      <c r="B46" s="9">
        <f>MAX(B$5:B45)+1</f>
        <v/>
      </c>
      <c r="C46" s="10" t="n"/>
      <c r="D46" s="49" t="n"/>
      <c r="E46" s="21" t="n"/>
      <c r="F46" s="22" t="n"/>
      <c r="G46" s="9" t="n"/>
      <c r="H46" s="9" t="n"/>
      <c r="I46" s="10" t="n"/>
      <c r="J46" s="11" t="n"/>
      <c r="K46" s="11" t="n"/>
    </row>
    <row r="47">
      <c r="B47" s="9">
        <f>MAX(B$5:B46)+1</f>
        <v/>
      </c>
      <c r="C47" s="10" t="n"/>
      <c r="D47" s="49" t="n"/>
      <c r="E47" s="21" t="n"/>
      <c r="F47" s="22" t="n"/>
      <c r="G47" s="9" t="n"/>
      <c r="H47" s="9" t="n"/>
      <c r="I47" s="10" t="n"/>
      <c r="J47" s="11" t="n"/>
      <c r="K47" s="11" t="n"/>
    </row>
    <row r="48">
      <c r="B48" s="9">
        <f>MAX(B$5:B47)+1</f>
        <v/>
      </c>
      <c r="C48" s="10" t="n"/>
      <c r="D48" s="49" t="n"/>
      <c r="E48" s="21" t="n"/>
      <c r="F48" s="22" t="n"/>
      <c r="G48" s="9" t="n"/>
      <c r="H48" s="9" t="n"/>
      <c r="I48" s="10" t="n"/>
      <c r="J48" s="11" t="n"/>
      <c r="K48" s="11" t="n"/>
    </row>
    <row r="49">
      <c r="B49" s="9">
        <f>MAX(B$5:B48)+1</f>
        <v/>
      </c>
      <c r="C49" s="10" t="n"/>
      <c r="D49" s="49" t="n"/>
      <c r="E49" s="21" t="n"/>
      <c r="F49" s="22" t="n"/>
      <c r="G49" s="9" t="n"/>
      <c r="H49" s="9" t="n"/>
      <c r="I49" s="10" t="n"/>
      <c r="J49" s="11" t="n"/>
      <c r="K49" s="11" t="n"/>
    </row>
    <row r="50">
      <c r="B50" s="9">
        <f>MAX(B$5:B49)+1</f>
        <v/>
      </c>
      <c r="C50" s="10" t="n"/>
      <c r="D50" s="49" t="n"/>
      <c r="E50" s="21" t="n"/>
      <c r="F50" s="22" t="n"/>
      <c r="G50" s="9" t="n"/>
      <c r="H50" s="9" t="n"/>
      <c r="I50" s="10" t="n"/>
      <c r="J50" s="11" t="n"/>
      <c r="K50" s="11" t="n"/>
    </row>
    <row r="51">
      <c r="B51" s="9">
        <f>MAX(B$5:B50)+1</f>
        <v/>
      </c>
      <c r="C51" s="10" t="n"/>
      <c r="D51" s="49" t="n"/>
      <c r="E51" s="21" t="n"/>
      <c r="F51" s="22" t="n"/>
      <c r="G51" s="9" t="n"/>
      <c r="H51" s="9" t="n"/>
      <c r="I51" s="10" t="n"/>
      <c r="J51" s="11" t="n"/>
      <c r="K51" s="11" t="n"/>
    </row>
    <row r="52">
      <c r="B52" s="9">
        <f>MAX(B$5:B51)+1</f>
        <v/>
      </c>
      <c r="C52" s="10" t="n"/>
      <c r="D52" s="49" t="n"/>
      <c r="E52" s="21" t="n"/>
      <c r="F52" s="22" t="n"/>
      <c r="G52" s="9" t="n"/>
      <c r="H52" s="9" t="n"/>
      <c r="I52" s="10" t="n"/>
      <c r="J52" s="11" t="n"/>
      <c r="K52" s="11" t="n"/>
    </row>
    <row r="53">
      <c r="B53" s="9">
        <f>MAX(B$5:B52)+1</f>
        <v/>
      </c>
      <c r="C53" s="10" t="n"/>
      <c r="D53" s="49" t="n"/>
      <c r="E53" s="21" t="n"/>
      <c r="F53" s="22" t="n"/>
      <c r="G53" s="9" t="n"/>
      <c r="H53" s="9" t="n"/>
      <c r="I53" s="10" t="n"/>
      <c r="J53" s="11" t="n"/>
      <c r="K53" s="11" t="n"/>
    </row>
    <row r="54">
      <c r="B54" s="9">
        <f>MAX(B$5:B53)+1</f>
        <v/>
      </c>
      <c r="C54" s="10" t="n"/>
      <c r="D54" s="49" t="n"/>
      <c r="E54" s="21" t="n"/>
      <c r="F54" s="22" t="n"/>
      <c r="G54" s="9" t="n"/>
      <c r="H54" s="9" t="n"/>
      <c r="I54" s="10" t="n"/>
      <c r="J54" s="11" t="n"/>
      <c r="K54" s="11" t="n"/>
    </row>
    <row r="55">
      <c r="B55" s="9">
        <f>MAX(B$5:B54)+1</f>
        <v/>
      </c>
      <c r="C55" s="10" t="n"/>
      <c r="D55" s="49" t="n"/>
      <c r="E55" s="21" t="n"/>
      <c r="F55" s="22" t="n"/>
      <c r="G55" s="9" t="n"/>
      <c r="H55" s="9" t="n"/>
      <c r="I55" s="10" t="n"/>
      <c r="J55" s="11" t="n"/>
      <c r="K55" s="11" t="n"/>
    </row>
    <row r="56">
      <c r="B56" s="9">
        <f>MAX(B$5:B55)+1</f>
        <v/>
      </c>
      <c r="C56" s="10" t="n"/>
      <c r="D56" s="49" t="n"/>
      <c r="E56" s="21" t="n"/>
      <c r="F56" s="22" t="n"/>
      <c r="G56" s="9" t="n"/>
      <c r="H56" s="9" t="n"/>
      <c r="I56" s="10" t="n"/>
      <c r="J56" s="11" t="n"/>
      <c r="K56" s="11" t="n"/>
    </row>
    <row r="57">
      <c r="B57" s="9">
        <f>MAX(B$5:B56)+1</f>
        <v/>
      </c>
      <c r="C57" s="10" t="n"/>
      <c r="D57" s="49" t="n"/>
      <c r="E57" s="21" t="n"/>
      <c r="F57" s="22" t="n"/>
      <c r="G57" s="9" t="n"/>
      <c r="H57" s="9" t="n"/>
      <c r="I57" s="10" t="n"/>
      <c r="J57" s="11" t="n"/>
      <c r="K57" s="11" t="n"/>
    </row>
    <row r="58">
      <c r="B58" s="9">
        <f>MAX(B$5:B57)+1</f>
        <v/>
      </c>
      <c r="C58" s="10" t="n"/>
      <c r="D58" s="49" t="n"/>
      <c r="E58" s="21" t="n"/>
      <c r="F58" s="22" t="n"/>
      <c r="G58" s="9" t="n"/>
      <c r="H58" s="9" t="n"/>
      <c r="I58" s="10" t="n"/>
      <c r="J58" s="11" t="n"/>
      <c r="K58" s="11" t="n"/>
    </row>
    <row r="59">
      <c r="B59" s="9">
        <f>MAX(B$5:B58)+1</f>
        <v/>
      </c>
      <c r="C59" s="10" t="n"/>
      <c r="D59" s="49" t="n"/>
      <c r="E59" s="21" t="n"/>
      <c r="F59" s="22" t="n"/>
      <c r="G59" s="9" t="n"/>
      <c r="H59" s="9" t="n"/>
      <c r="I59" s="10" t="n"/>
      <c r="J59" s="11" t="n"/>
      <c r="K59" s="11" t="n"/>
    </row>
    <row r="60">
      <c r="B60" s="9">
        <f>MAX(B$5:B59)+1</f>
        <v/>
      </c>
      <c r="C60" s="10" t="n"/>
      <c r="D60" s="49" t="n"/>
      <c r="E60" s="21" t="n"/>
      <c r="F60" s="22" t="n"/>
      <c r="G60" s="9" t="n"/>
      <c r="H60" s="9" t="n"/>
      <c r="I60" s="10" t="n"/>
      <c r="J60" s="11" t="n"/>
      <c r="K60" s="11" t="n"/>
    </row>
    <row r="61">
      <c r="B61" s="9">
        <f>MAX(B$5:B60)+1</f>
        <v/>
      </c>
      <c r="C61" s="10" t="n"/>
      <c r="D61" s="49" t="n"/>
      <c r="E61" s="21" t="n"/>
      <c r="F61" s="22" t="n"/>
      <c r="G61" s="9" t="n"/>
      <c r="H61" s="9" t="n"/>
      <c r="I61" s="10" t="n"/>
      <c r="J61" s="11" t="n"/>
      <c r="K61" s="11" t="n"/>
    </row>
    <row r="62">
      <c r="B62" s="9">
        <f>MAX(B$5:B61)+1</f>
        <v/>
      </c>
      <c r="C62" s="10" t="n"/>
      <c r="D62" s="49" t="n"/>
      <c r="E62" s="21" t="n"/>
      <c r="F62" s="22" t="n"/>
      <c r="G62" s="9" t="n"/>
      <c r="H62" s="9" t="n"/>
      <c r="I62" s="10" t="n"/>
      <c r="J62" s="11" t="n"/>
      <c r="K62" s="11" t="n"/>
    </row>
    <row r="63">
      <c r="B63" s="9">
        <f>MAX(B$5:B62)+1</f>
        <v/>
      </c>
      <c r="C63" s="10" t="n"/>
      <c r="D63" s="49" t="n"/>
      <c r="E63" s="21" t="n"/>
      <c r="F63" s="22" t="n"/>
      <c r="G63" s="9" t="n"/>
      <c r="H63" s="9" t="n"/>
      <c r="I63" s="10" t="n"/>
      <c r="J63" s="11" t="n"/>
      <c r="K63" s="11" t="n"/>
    </row>
    <row r="64">
      <c r="B64" s="9">
        <f>MAX(B$5:B63)+1</f>
        <v/>
      </c>
      <c r="C64" s="10" t="n"/>
      <c r="D64" s="49" t="n"/>
      <c r="E64" s="21" t="n"/>
      <c r="F64" s="22" t="n"/>
      <c r="G64" s="9" t="n"/>
      <c r="H64" s="9" t="n"/>
      <c r="I64" s="10" t="n"/>
      <c r="J64" s="11" t="n"/>
      <c r="K64" s="11" t="n"/>
    </row>
    <row r="65">
      <c r="B65" s="9">
        <f>MAX(B$5:B64)+1</f>
        <v/>
      </c>
      <c r="C65" s="10" t="n"/>
      <c r="D65" s="49" t="n"/>
      <c r="E65" s="21" t="n"/>
      <c r="F65" s="22" t="n"/>
      <c r="G65" s="9" t="n"/>
      <c r="H65" s="9" t="n"/>
      <c r="I65" s="10" t="n"/>
      <c r="J65" s="11" t="n"/>
      <c r="K65" s="11" t="n"/>
    </row>
    <row r="66">
      <c r="B66" s="9">
        <f>MAX(B$5:B65)+1</f>
        <v/>
      </c>
      <c r="C66" s="10" t="n"/>
      <c r="D66" s="49" t="n"/>
      <c r="E66" s="21" t="n"/>
      <c r="F66" s="22" t="n"/>
      <c r="G66" s="9" t="n"/>
      <c r="H66" s="9" t="n"/>
      <c r="I66" s="10" t="n"/>
      <c r="J66" s="11" t="n"/>
      <c r="K66" s="11" t="n"/>
    </row>
    <row r="67">
      <c r="B67" s="9">
        <f>MAX(B$5:B66)+1</f>
        <v/>
      </c>
      <c r="C67" s="10" t="n"/>
      <c r="D67" s="49" t="n"/>
      <c r="E67" s="21" t="n"/>
      <c r="F67" s="22" t="n"/>
      <c r="G67" s="9" t="n"/>
      <c r="H67" s="9" t="n"/>
      <c r="I67" s="10" t="n"/>
      <c r="J67" s="11" t="n"/>
      <c r="K67" s="11" t="n"/>
    </row>
    <row r="68">
      <c r="B68" s="9">
        <f>MAX(B$5:B67)+1</f>
        <v/>
      </c>
      <c r="C68" s="10" t="n"/>
      <c r="D68" s="49" t="n"/>
      <c r="E68" s="21" t="n"/>
      <c r="F68" s="22" t="n"/>
      <c r="G68" s="9" t="n"/>
      <c r="H68" s="9" t="n"/>
      <c r="I68" s="10" t="n"/>
      <c r="J68" s="11" t="n"/>
      <c r="K68" s="11" t="n"/>
    </row>
    <row r="69">
      <c r="B69" s="9">
        <f>MAX(B$5:B68)+1</f>
        <v/>
      </c>
      <c r="C69" s="10" t="n"/>
      <c r="D69" s="49" t="n"/>
      <c r="E69" s="21" t="n"/>
      <c r="F69" s="22" t="n"/>
      <c r="G69" s="9" t="n"/>
      <c r="H69" s="9" t="n"/>
      <c r="I69" s="10" t="n"/>
      <c r="J69" s="11" t="n"/>
      <c r="K69" s="11" t="n"/>
    </row>
    <row r="70">
      <c r="B70" s="9">
        <f>MAX(B$5:B69)+1</f>
        <v/>
      </c>
      <c r="C70" s="10" t="n"/>
      <c r="D70" s="49" t="n"/>
      <c r="E70" s="21" t="n"/>
      <c r="F70" s="22" t="n"/>
      <c r="G70" s="9" t="n"/>
      <c r="H70" s="9" t="n"/>
      <c r="I70" s="10" t="n"/>
      <c r="J70" s="11" t="n"/>
      <c r="K70" s="11" t="n"/>
    </row>
    <row r="71">
      <c r="B71" s="9">
        <f>MAX(B$5:B70)+1</f>
        <v/>
      </c>
      <c r="C71" s="10" t="n"/>
      <c r="D71" s="49" t="n"/>
      <c r="E71" s="21" t="n"/>
      <c r="F71" s="22" t="n"/>
      <c r="G71" s="9" t="n"/>
      <c r="H71" s="9" t="n"/>
      <c r="I71" s="10" t="n"/>
      <c r="J71" s="11" t="n"/>
      <c r="K71" s="11" t="n"/>
    </row>
    <row r="72">
      <c r="B72" s="9">
        <f>MAX(B$5:B71)+1</f>
        <v/>
      </c>
      <c r="C72" s="10" t="n"/>
      <c r="D72" s="49" t="n"/>
      <c r="E72" s="21" t="n"/>
      <c r="F72" s="22" t="n"/>
      <c r="G72" s="9" t="n"/>
      <c r="H72" s="9" t="n"/>
      <c r="I72" s="10" t="n"/>
      <c r="J72" s="11" t="n"/>
      <c r="K72" s="11" t="n"/>
    </row>
    <row r="73">
      <c r="B73" s="9">
        <f>MAX(B$5:B72)+1</f>
        <v/>
      </c>
      <c r="C73" s="10" t="n"/>
      <c r="D73" s="49" t="n"/>
      <c r="E73" s="21" t="n"/>
      <c r="F73" s="22" t="n"/>
      <c r="G73" s="9" t="n"/>
      <c r="H73" s="9" t="n"/>
      <c r="I73" s="10" t="n"/>
      <c r="J73" s="11" t="n"/>
      <c r="K73" s="11" t="n"/>
    </row>
    <row r="74">
      <c r="B74" s="9">
        <f>MAX(B$5:B73)+1</f>
        <v/>
      </c>
      <c r="C74" s="10" t="n"/>
      <c r="D74" s="49" t="n"/>
      <c r="E74" s="21" t="n"/>
      <c r="F74" s="22" t="n"/>
      <c r="G74" s="9" t="n"/>
      <c r="H74" s="9" t="n"/>
      <c r="I74" s="10" t="n"/>
      <c r="J74" s="11" t="n"/>
      <c r="K74" s="11" t="n"/>
    </row>
    <row r="75">
      <c r="B75" s="9">
        <f>MAX(B$5:B74)+1</f>
        <v/>
      </c>
      <c r="C75" s="10" t="n"/>
      <c r="D75" s="49" t="n"/>
      <c r="E75" s="21" t="n"/>
      <c r="F75" s="22" t="n"/>
      <c r="G75" s="9" t="n"/>
      <c r="H75" s="9" t="n"/>
      <c r="I75" s="10" t="n"/>
      <c r="J75" s="11" t="n"/>
      <c r="K75" s="11" t="n"/>
    </row>
    <row r="76">
      <c r="B76" s="9">
        <f>MAX(B$5:B75)+1</f>
        <v/>
      </c>
      <c r="C76" s="10" t="n"/>
      <c r="D76" s="49" t="n"/>
      <c r="E76" s="21" t="n"/>
      <c r="F76" s="22" t="n"/>
      <c r="G76" s="9" t="n"/>
      <c r="H76" s="9" t="n"/>
      <c r="I76" s="10" t="n"/>
      <c r="J76" s="11" t="n"/>
      <c r="K76" s="11" t="n"/>
    </row>
    <row r="77">
      <c r="B77" s="9">
        <f>MAX(B$5:B76)+1</f>
        <v/>
      </c>
      <c r="C77" s="10" t="n"/>
      <c r="D77" s="49" t="n"/>
      <c r="E77" s="21" t="n"/>
      <c r="F77" s="22" t="n"/>
      <c r="G77" s="9" t="n"/>
      <c r="H77" s="9" t="n"/>
      <c r="I77" s="10" t="n"/>
      <c r="J77" s="11" t="n"/>
      <c r="K77" s="11" t="n"/>
    </row>
    <row r="78">
      <c r="B78" s="9">
        <f>MAX(B$5:B77)+1</f>
        <v/>
      </c>
      <c r="C78" s="10" t="n"/>
      <c r="D78" s="49" t="n"/>
      <c r="E78" s="21" t="n"/>
      <c r="F78" s="22" t="n"/>
      <c r="G78" s="9" t="n"/>
      <c r="H78" s="9" t="n"/>
      <c r="I78" s="10" t="n"/>
      <c r="J78" s="11" t="n"/>
      <c r="K78" s="11" t="n"/>
    </row>
    <row r="79">
      <c r="B79" s="9">
        <f>MAX(B$5:B78)+1</f>
        <v/>
      </c>
      <c r="C79" s="10" t="n"/>
      <c r="D79" s="49" t="n"/>
      <c r="E79" s="21" t="n"/>
      <c r="F79" s="22" t="n"/>
      <c r="G79" s="9" t="n"/>
      <c r="H79" s="9" t="n"/>
      <c r="I79" s="10" t="n"/>
      <c r="J79" s="11" t="n"/>
      <c r="K79" s="11" t="n"/>
    </row>
    <row r="80">
      <c r="B80" s="9">
        <f>MAX(B$5:B79)+1</f>
        <v/>
      </c>
      <c r="C80" s="10" t="n"/>
      <c r="D80" s="49" t="n"/>
      <c r="E80" s="21" t="n"/>
      <c r="F80" s="22" t="n"/>
      <c r="G80" s="9" t="n"/>
      <c r="H80" s="9" t="n"/>
      <c r="I80" s="10" t="n"/>
      <c r="J80" s="11" t="n"/>
      <c r="K80" s="11" t="n"/>
    </row>
    <row r="81">
      <c r="B81" s="9">
        <f>MAX(B$5:B80)+1</f>
        <v/>
      </c>
      <c r="C81" s="10" t="n"/>
      <c r="D81" s="49" t="n"/>
      <c r="E81" s="21" t="n"/>
      <c r="F81" s="22" t="n"/>
      <c r="G81" s="9" t="n"/>
      <c r="H81" s="9" t="n"/>
      <c r="I81" s="10" t="n"/>
      <c r="J81" s="11" t="n"/>
      <c r="K81" s="11" t="n"/>
    </row>
    <row r="82">
      <c r="B82" s="9">
        <f>MAX(B$5:B81)+1</f>
        <v/>
      </c>
      <c r="C82" s="10" t="n"/>
      <c r="D82" s="49" t="n"/>
      <c r="E82" s="21" t="n"/>
      <c r="F82" s="22" t="n"/>
      <c r="G82" s="9" t="n"/>
      <c r="H82" s="9" t="n"/>
      <c r="I82" s="10" t="n"/>
      <c r="J82" s="11" t="n"/>
      <c r="K82" s="11" t="n"/>
    </row>
    <row r="83">
      <c r="B83" s="9">
        <f>MAX(B$5:B82)+1</f>
        <v/>
      </c>
      <c r="C83" s="10" t="n"/>
      <c r="D83" s="49" t="n"/>
      <c r="E83" s="21" t="n"/>
      <c r="F83" s="22" t="n"/>
      <c r="G83" s="9" t="n"/>
      <c r="H83" s="9" t="n"/>
      <c r="I83" s="10" t="n"/>
      <c r="J83" s="11" t="n"/>
      <c r="K83" s="11" t="n"/>
    </row>
    <row r="84">
      <c r="B84" s="9">
        <f>MAX(B$5:B83)+1</f>
        <v/>
      </c>
      <c r="C84" s="10" t="n"/>
      <c r="D84" s="49" t="n"/>
      <c r="E84" s="21" t="n"/>
      <c r="F84" s="22" t="n"/>
      <c r="G84" s="9" t="n"/>
      <c r="H84" s="9" t="n"/>
      <c r="I84" s="10" t="n"/>
      <c r="J84" s="11" t="n"/>
      <c r="K84" s="11" t="n"/>
    </row>
    <row r="85">
      <c r="B85" s="9">
        <f>MAX(B$5:B84)+1</f>
        <v/>
      </c>
      <c r="C85" s="10" t="n"/>
      <c r="D85" s="49" t="n"/>
      <c r="E85" s="21" t="n"/>
      <c r="F85" s="22" t="n"/>
      <c r="G85" s="9" t="n"/>
      <c r="H85" s="9" t="n"/>
      <c r="I85" s="10" t="n"/>
      <c r="J85" s="11" t="n"/>
      <c r="K85" s="11" t="n"/>
    </row>
    <row r="86">
      <c r="B86" s="9">
        <f>MAX(B$5:B85)+1</f>
        <v/>
      </c>
      <c r="C86" s="10" t="n"/>
      <c r="D86" s="49" t="n"/>
      <c r="E86" s="21" t="n"/>
      <c r="F86" s="22" t="n"/>
      <c r="G86" s="9" t="n"/>
      <c r="H86" s="9" t="n"/>
      <c r="I86" s="10" t="n"/>
      <c r="J86" s="11" t="n"/>
      <c r="K86" s="11" t="n"/>
    </row>
    <row r="87">
      <c r="B87" s="9">
        <f>MAX(B$5:B86)+1</f>
        <v/>
      </c>
      <c r="C87" s="10" t="n"/>
      <c r="D87" s="49" t="n"/>
      <c r="E87" s="21" t="n"/>
      <c r="F87" s="22" t="n"/>
      <c r="G87" s="9" t="n"/>
      <c r="H87" s="9" t="n"/>
      <c r="I87" s="10" t="n"/>
      <c r="J87" s="11" t="n"/>
      <c r="K87" s="11" t="n"/>
    </row>
    <row r="88">
      <c r="B88" s="9">
        <f>MAX(B$5:B87)+1</f>
        <v/>
      </c>
      <c r="C88" s="10" t="n"/>
      <c r="D88" s="49" t="n"/>
      <c r="E88" s="21" t="n"/>
      <c r="F88" s="22" t="n"/>
      <c r="G88" s="9" t="n"/>
      <c r="H88" s="9" t="n"/>
      <c r="I88" s="10" t="n"/>
      <c r="J88" s="11" t="n"/>
      <c r="K88" s="11" t="n"/>
    </row>
    <row r="89">
      <c r="B89" s="9">
        <f>MAX(B$5:B88)+1</f>
        <v/>
      </c>
      <c r="C89" s="10" t="n"/>
      <c r="D89" s="49" t="n"/>
      <c r="E89" s="21" t="n"/>
      <c r="F89" s="22" t="n"/>
      <c r="G89" s="9" t="n"/>
      <c r="H89" s="9" t="n"/>
      <c r="I89" s="10" t="n"/>
      <c r="J89" s="11" t="n"/>
      <c r="K89" s="11" t="n"/>
    </row>
    <row r="90">
      <c r="B90" s="9">
        <f>MAX(B$5:B89)+1</f>
        <v/>
      </c>
      <c r="C90" s="10" t="n"/>
      <c r="D90" s="49" t="n"/>
      <c r="E90" s="21" t="n"/>
      <c r="F90" s="22" t="n"/>
      <c r="G90" s="9" t="n"/>
      <c r="H90" s="9" t="n"/>
      <c r="I90" s="10" t="n"/>
      <c r="J90" s="11" t="n"/>
      <c r="K90" s="11" t="n"/>
    </row>
    <row r="91">
      <c r="B91" s="9">
        <f>MAX(B$5:B90)+1</f>
        <v/>
      </c>
      <c r="C91" s="10" t="n"/>
      <c r="D91" s="49" t="n"/>
      <c r="E91" s="21" t="n"/>
      <c r="F91" s="22" t="n"/>
      <c r="G91" s="9" t="n"/>
      <c r="H91" s="9" t="n"/>
      <c r="I91" s="10" t="n"/>
      <c r="J91" s="11" t="n"/>
      <c r="K91" s="11" t="n"/>
    </row>
    <row r="92">
      <c r="B92" s="9">
        <f>MAX(B$5:B91)+1</f>
        <v/>
      </c>
      <c r="C92" s="10" t="n"/>
      <c r="D92" s="49" t="n"/>
      <c r="E92" s="21" t="n"/>
      <c r="F92" s="22" t="n"/>
      <c r="G92" s="9" t="n"/>
      <c r="H92" s="9" t="n"/>
      <c r="I92" s="10" t="n"/>
      <c r="J92" s="11" t="n"/>
      <c r="K92" s="11" t="n"/>
    </row>
    <row r="93">
      <c r="B93" s="9">
        <f>MAX(B$5:B92)+1</f>
        <v/>
      </c>
      <c r="C93" s="10" t="n"/>
      <c r="D93" s="49" t="n"/>
      <c r="E93" s="21" t="n"/>
      <c r="F93" s="22" t="n"/>
      <c r="G93" s="9" t="n"/>
      <c r="H93" s="9" t="n"/>
      <c r="I93" s="10" t="n"/>
      <c r="J93" s="11" t="n"/>
      <c r="K93" s="11" t="n"/>
    </row>
    <row r="94">
      <c r="B94" s="9">
        <f>MAX(B$5:B93)+1</f>
        <v/>
      </c>
      <c r="C94" s="10" t="n"/>
      <c r="D94" s="49" t="n"/>
      <c r="E94" s="21" t="n"/>
      <c r="F94" s="22" t="n"/>
      <c r="G94" s="9" t="n"/>
      <c r="H94" s="9" t="n"/>
      <c r="I94" s="10" t="n"/>
      <c r="J94" s="11" t="n"/>
      <c r="K94" s="11" t="n"/>
    </row>
    <row r="95">
      <c r="B95" s="9">
        <f>MAX(B$5:B94)+1</f>
        <v/>
      </c>
      <c r="C95" s="10" t="n"/>
      <c r="D95" s="49" t="n"/>
      <c r="E95" s="21" t="n"/>
      <c r="F95" s="22" t="n"/>
      <c r="G95" s="9" t="n"/>
      <c r="H95" s="9" t="n"/>
      <c r="I95" s="10" t="n"/>
      <c r="J95" s="11" t="n"/>
      <c r="K95" s="11" t="n"/>
    </row>
    <row r="96">
      <c r="B96" s="9">
        <f>MAX(B$5:B95)+1</f>
        <v/>
      </c>
      <c r="C96" s="10" t="n"/>
      <c r="D96" s="49" t="n"/>
      <c r="E96" s="21" t="n"/>
      <c r="F96" s="22" t="n"/>
      <c r="G96" s="9" t="n"/>
      <c r="H96" s="9" t="n"/>
      <c r="I96" s="10" t="n"/>
      <c r="J96" s="11" t="n"/>
      <c r="K96" s="11" t="n"/>
    </row>
    <row r="97">
      <c r="B97" s="9">
        <f>MAX(B$5:B96)+1</f>
        <v/>
      </c>
      <c r="C97" s="10" t="n"/>
      <c r="D97" s="49" t="n"/>
      <c r="E97" s="21" t="n"/>
      <c r="F97" s="22" t="n"/>
      <c r="G97" s="9" t="n"/>
      <c r="H97" s="9" t="n"/>
      <c r="I97" s="10" t="n"/>
      <c r="J97" s="11" t="n"/>
      <c r="K97" s="11" t="n"/>
    </row>
    <row r="98">
      <c r="B98" s="9">
        <f>MAX(B$5:B97)+1</f>
        <v/>
      </c>
      <c r="C98" s="10" t="n"/>
      <c r="D98" s="49" t="n"/>
      <c r="E98" s="21" t="n"/>
      <c r="F98" s="22" t="n"/>
      <c r="G98" s="9" t="n"/>
      <c r="H98" s="9" t="n"/>
      <c r="I98" s="10" t="n"/>
      <c r="J98" s="11" t="n"/>
      <c r="K98" s="11" t="n"/>
    </row>
    <row r="99">
      <c r="B99" s="9">
        <f>MAX(B$5:B98)+1</f>
        <v/>
      </c>
      <c r="C99" s="10" t="n"/>
      <c r="D99" s="49" t="n"/>
      <c r="E99" s="21" t="n"/>
      <c r="F99" s="22" t="n"/>
      <c r="G99" s="9" t="n"/>
      <c r="H99" s="9" t="n"/>
      <c r="I99" s="10" t="n"/>
      <c r="J99" s="11" t="n"/>
      <c r="K99" s="11" t="n"/>
    </row>
    <row r="100">
      <c r="B100" s="9">
        <f>MAX(B$5:B99)+1</f>
        <v/>
      </c>
      <c r="C100" s="10" t="n"/>
      <c r="D100" s="49" t="n"/>
      <c r="E100" s="21" t="n"/>
      <c r="F100" s="22" t="n"/>
      <c r="G100" s="9" t="n"/>
      <c r="H100" s="9" t="n"/>
      <c r="I100" s="10" t="n"/>
      <c r="J100" s="11" t="n"/>
      <c r="K100" s="11" t="n"/>
    </row>
    <row r="101">
      <c r="B101" s="9">
        <f>MAX(B$5:B100)+1</f>
        <v/>
      </c>
      <c r="C101" s="10" t="n"/>
      <c r="D101" s="49" t="n"/>
      <c r="E101" s="21" t="n"/>
      <c r="F101" s="22" t="n"/>
      <c r="G101" s="9" t="n"/>
      <c r="H101" s="9" t="n"/>
      <c r="I101" s="10" t="n"/>
      <c r="J101" s="11" t="n"/>
      <c r="K101" s="11" t="n"/>
    </row>
    <row r="102">
      <c r="B102" s="9">
        <f>MAX(B$5:B101)+1</f>
        <v/>
      </c>
      <c r="C102" s="10" t="n"/>
      <c r="D102" s="49" t="n"/>
      <c r="E102" s="21" t="n"/>
      <c r="F102" s="22" t="n"/>
      <c r="G102" s="9" t="n"/>
      <c r="H102" s="9" t="n"/>
      <c r="I102" s="10" t="n"/>
      <c r="J102" s="11" t="n"/>
      <c r="K102" s="11" t="n"/>
    </row>
    <row r="103">
      <c r="B103" s="9">
        <f>MAX(B$5:B102)+1</f>
        <v/>
      </c>
      <c r="C103" s="10" t="n"/>
      <c r="D103" s="49" t="n"/>
      <c r="E103" s="21" t="n"/>
      <c r="F103" s="22" t="n"/>
      <c r="G103" s="9" t="n"/>
      <c r="H103" s="9" t="n"/>
      <c r="I103" s="10" t="n"/>
      <c r="J103" s="11" t="n"/>
      <c r="K103" s="11" t="n"/>
    </row>
    <row r="104">
      <c r="B104" s="9">
        <f>MAX(B$5:B103)+1</f>
        <v/>
      </c>
      <c r="C104" s="10" t="n"/>
      <c r="D104" s="49" t="n"/>
      <c r="E104" s="21" t="n"/>
      <c r="F104" s="22" t="n"/>
      <c r="G104" s="9" t="n"/>
      <c r="H104" s="9" t="n"/>
      <c r="I104" s="10" t="n"/>
      <c r="J104" s="11" t="n"/>
      <c r="K104" s="11" t="n"/>
    </row>
  </sheetData>
  <autoFilter ref="B4:K104"/>
  <conditionalFormatting sqref="G5:G488">
    <cfRule type="expression" priority="130" dxfId="5">
      <formula>SEARCH("Medium",$G5)&gt;0</formula>
    </cfRule>
    <cfRule type="expression" priority="131" dxfId="4">
      <formula>SEARCH("High",$G5)&gt;0</formula>
    </cfRule>
    <cfRule type="expression" priority="132" dxfId="3">
      <formula>SEARCH("Highest",$G5)&gt;0</formula>
    </cfRule>
  </conditionalFormatting>
  <conditionalFormatting sqref="H5:H488">
    <cfRule type="expression" priority="135" dxfId="2">
      <formula>SEARCH("Partial",$H5)&gt;0</formula>
    </cfRule>
    <cfRule type="expression" priority="136" dxfId="1">
      <formula>SEARCH("Open",$H5)&gt;0</formula>
    </cfRule>
    <cfRule type="expression" priority="137" dxfId="0">
      <formula>SEARCH("Closed",$H5)&gt;0</formula>
    </cfRule>
  </conditionalFormatting>
  <dataValidations count="3">
    <dataValidation sqref="D5:D104" showDropDown="0" showInputMessage="0" showErrorMessage="0" allowBlank="1" type="list">
      <formula1>Overview!$B$37:$B$46</formula1>
    </dataValidation>
    <dataValidation sqref="G5:G104" showDropDown="0" showInputMessage="0" showErrorMessage="0" allowBlank="1" type="list">
      <formula1>"Highest,High,Medium,Low"</formula1>
    </dataValidation>
    <dataValidation sqref="H5:H104" showDropDown="0" showInputMessage="0" showErrorMessage="0" allowBlank="1" type="list">
      <formula1>"Open,Partial,Closed,N/A"</formula1>
    </dataValidation>
  </dataValidations>
  <printOptions horizontalCentered="1"/>
  <pageMargins left="0.25" right="0.25" top="0.25" bottom="0.5" header="0" footer="0.25"/>
  <pageSetup orientation="landscape" scale="47" fitToHeight="0"/>
  <headerFooter alignWithMargins="0">
    <oddHeader/>
    <oddFooter>&amp;L&amp;"Calibri,Regular"&amp;10 &amp;K000000#Confidential&amp;C&amp;G&amp;R&amp;8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3">
    <outlinePr summaryBelow="1" summaryRight="1"/>
    <pageSetUpPr fitToPage="1"/>
  </sheetPr>
  <dimension ref="B1:AA104"/>
  <sheetViews>
    <sheetView showGridLines="0" zoomScale="85" zoomScaleNormal="85" zoomScaleSheetLayoutView="85" zoomScalePageLayoutView="150" workbookViewId="0">
      <pane xSplit="8" ySplit="4" topLeftCell="I5" activePane="bottomRight" state="frozen"/>
      <selection pane="topRight" activeCell="E114" sqref="E114"/>
      <selection pane="bottomLeft" activeCell="E114" sqref="E114"/>
      <selection pane="bottomRight" activeCell="C5" sqref="C5"/>
    </sheetView>
  </sheetViews>
  <sheetFormatPr baseColWidth="8" defaultColWidth="8.53515625" defaultRowHeight="12.45"/>
  <cols>
    <col width="1.53515625" customWidth="1" style="1" min="1" max="1"/>
    <col width="5.53515625" customWidth="1" style="1" min="2" max="2"/>
    <col width="13.4609375" bestFit="1" customWidth="1" style="1" min="3" max="3"/>
    <col width="15.53515625" customWidth="1" style="50" min="4" max="4"/>
    <col width="65.69140625" customWidth="1" style="2" min="5" max="5"/>
    <col width="13.4609375" customWidth="1" style="3" min="6" max="6"/>
    <col width="10.53515625" customWidth="1" style="1" min="7" max="9"/>
    <col width="65.69140625" customWidth="1" style="3" min="10" max="11"/>
    <col width="8.53515625" customWidth="1" style="1" min="12" max="12"/>
    <col width="23.4609375" customWidth="1" style="1" min="13" max="13"/>
    <col width="8.53515625" customWidth="1" style="1" min="14" max="16384"/>
  </cols>
  <sheetData>
    <row r="1" ht="10.4" customFormat="1" customHeight="1" s="6">
      <c r="B1" s="8" t="n"/>
      <c r="C1" s="8" t="n"/>
      <c r="D1" s="47" t="n"/>
      <c r="G1" s="7" t="n"/>
      <c r="H1" s="7" t="n"/>
      <c r="I1" s="7" t="n"/>
      <c r="J1" s="7" t="n"/>
      <c r="K1" s="7" t="n"/>
      <c r="L1" s="7" t="n"/>
      <c r="M1" s="7" t="n"/>
      <c r="N1" s="7" t="n"/>
      <c r="O1" s="7" t="n"/>
      <c r="P1" s="7" t="n"/>
      <c r="Q1" s="7" t="n"/>
      <c r="R1" s="7" t="n"/>
      <c r="S1" s="7" t="n"/>
      <c r="T1" s="7" t="n"/>
      <c r="U1" s="7" t="n"/>
      <c r="V1" s="7" t="n"/>
      <c r="W1" s="7" t="n"/>
      <c r="X1" s="7" t="n"/>
      <c r="Y1" s="7" t="n"/>
      <c r="Z1" s="7" t="n"/>
      <c r="AA1" s="7" t="n"/>
    </row>
    <row r="2" ht="20.15" customFormat="1" customHeight="1" s="6">
      <c r="B2" s="32">
        <f>Project&amp;"  |  "&amp;REPLACE(CELL("filename",D1),1,FIND("]",CELL("filename",D1)),"")&amp;" Diligence Tracker"</f>
        <v/>
      </c>
      <c r="C2" s="33" t="n"/>
      <c r="D2" s="48" t="n"/>
      <c r="E2" s="31" t="n"/>
      <c r="F2" s="34" t="n"/>
      <c r="G2" s="31" t="n"/>
      <c r="H2" s="31" t="n"/>
      <c r="I2" s="31" t="n"/>
      <c r="J2" s="31" t="n"/>
      <c r="K2" s="35" t="n"/>
      <c r="L2" s="7" t="n"/>
      <c r="M2" s="7" t="n"/>
      <c r="N2" s="7" t="n"/>
      <c r="O2" s="7" t="n"/>
      <c r="P2" s="7" t="n"/>
      <c r="Q2" s="7" t="n"/>
      <c r="R2" s="7" t="n"/>
      <c r="S2" s="7" t="n"/>
      <c r="T2" s="7" t="n"/>
      <c r="U2" s="7" t="n"/>
      <c r="V2" s="7" t="n"/>
      <c r="W2" s="7" t="n"/>
      <c r="X2" s="7" t="n"/>
      <c r="Y2" s="7" t="n"/>
      <c r="Z2" s="7" t="n"/>
      <c r="AA2" s="7" t="n"/>
    </row>
    <row r="4" ht="24.9" customFormat="1" customHeight="1" s="23">
      <c r="B4" s="25" t="inlineStr">
        <is>
          <t xml:space="preserve">  #</t>
        </is>
      </c>
      <c r="C4" s="24" t="inlineStr">
        <is>
          <t>Date 
Requested</t>
        </is>
      </c>
      <c r="D4" s="24" t="inlineStr">
        <is>
          <t>Category</t>
        </is>
      </c>
      <c r="E4" s="25" t="inlineStr">
        <is>
          <t>Request / Question</t>
        </is>
      </c>
      <c r="F4" s="24" t="inlineStr">
        <is>
          <t>VDR 
Reference</t>
        </is>
      </c>
      <c r="G4" s="25" t="inlineStr">
        <is>
          <t>Priority</t>
        </is>
      </c>
      <c r="H4" s="25" t="inlineStr">
        <is>
          <t>Status</t>
        </is>
      </c>
      <c r="I4" s="24" t="inlineStr">
        <is>
          <t>Last Update</t>
        </is>
      </c>
      <c r="J4" s="24" t="inlineStr">
        <is>
          <t>Seller's Response</t>
        </is>
      </c>
      <c r="K4" s="24" t="inlineStr">
        <is>
          <t>Buyer's Follow-Up Comments</t>
        </is>
      </c>
    </row>
    <row r="5">
      <c r="B5" s="9" t="n">
        <v>1</v>
      </c>
      <c r="C5" s="10" t="n"/>
      <c r="D5" s="49" t="n"/>
      <c r="E5" s="21" t="n"/>
      <c r="F5" s="22" t="n"/>
      <c r="G5" s="9" t="n"/>
      <c r="H5" s="9" t="n"/>
      <c r="I5" s="10" t="n"/>
      <c r="J5" s="11" t="n"/>
      <c r="K5" s="11" t="n"/>
    </row>
    <row r="6">
      <c r="B6" s="9">
        <f>MAX(B$5:B5)+1</f>
        <v/>
      </c>
      <c r="C6" s="10" t="n"/>
      <c r="D6" s="49" t="n"/>
      <c r="E6" s="21" t="n"/>
      <c r="F6" s="22" t="n"/>
      <c r="G6" s="9" t="n"/>
      <c r="H6" s="9" t="n"/>
      <c r="I6" s="10" t="n"/>
      <c r="J6" s="11" t="n"/>
      <c r="K6" s="11" t="n"/>
    </row>
    <row r="7">
      <c r="B7" s="9">
        <f>MAX(B$5:B6)+1</f>
        <v/>
      </c>
      <c r="C7" s="10" t="n"/>
      <c r="D7" s="49" t="n"/>
      <c r="E7" s="21" t="n"/>
      <c r="F7" s="22" t="n"/>
      <c r="G7" s="9" t="n"/>
      <c r="H7" s="9" t="n"/>
      <c r="I7" s="10" t="n"/>
      <c r="J7" s="11" t="n"/>
      <c r="K7" s="11" t="n"/>
    </row>
    <row r="8">
      <c r="B8" s="9">
        <f>MAX(B$5:B7)+1</f>
        <v/>
      </c>
      <c r="C8" s="10" t="n"/>
      <c r="D8" s="49" t="n"/>
      <c r="E8" s="21" t="n"/>
      <c r="F8" s="22" t="n"/>
      <c r="G8" s="9" t="n"/>
      <c r="H8" s="9" t="n"/>
      <c r="I8" s="10" t="n"/>
      <c r="J8" s="11" t="n"/>
      <c r="K8" s="11" t="n"/>
    </row>
    <row r="9">
      <c r="B9" s="9">
        <f>MAX(B$5:B8)+1</f>
        <v/>
      </c>
      <c r="C9" s="10" t="n"/>
      <c r="D9" s="49" t="n"/>
      <c r="E9" s="21" t="n"/>
      <c r="F9" s="22" t="n"/>
      <c r="G9" s="9" t="n"/>
      <c r="H9" s="9" t="n"/>
      <c r="I9" s="10" t="n"/>
      <c r="J9" s="11" t="n"/>
      <c r="K9" s="11" t="n"/>
    </row>
    <row r="10">
      <c r="B10" s="9">
        <f>MAX(B$5:B9)+1</f>
        <v/>
      </c>
      <c r="C10" s="10" t="n"/>
      <c r="D10" s="49" t="n"/>
      <c r="E10" s="21" t="n"/>
      <c r="F10" s="22" t="n"/>
      <c r="G10" s="9" t="n"/>
      <c r="H10" s="9" t="n"/>
      <c r="I10" s="10" t="n"/>
      <c r="J10" s="11" t="n"/>
      <c r="K10" s="11" t="n"/>
    </row>
    <row r="11">
      <c r="B11" s="9">
        <f>MAX(B$5:B10)+1</f>
        <v/>
      </c>
      <c r="C11" s="10" t="n"/>
      <c r="D11" s="49" t="n"/>
      <c r="E11" s="21" t="n"/>
      <c r="F11" s="22" t="n"/>
      <c r="G11" s="9" t="n"/>
      <c r="H11" s="9" t="n"/>
      <c r="I11" s="10" t="n"/>
      <c r="J11" s="11" t="n"/>
      <c r="K11" s="11" t="n"/>
    </row>
    <row r="12">
      <c r="B12" s="9">
        <f>MAX(B$5:B11)+1</f>
        <v/>
      </c>
      <c r="C12" s="10" t="n"/>
      <c r="D12" s="49" t="n"/>
      <c r="E12" s="21" t="n"/>
      <c r="F12" s="22" t="n"/>
      <c r="G12" s="9" t="n"/>
      <c r="H12" s="9" t="n"/>
      <c r="I12" s="10" t="n"/>
      <c r="J12" s="11" t="n"/>
      <c r="K12" s="11" t="n"/>
    </row>
    <row r="13">
      <c r="B13" s="9">
        <f>MAX(B$5:B12)+1</f>
        <v/>
      </c>
      <c r="C13" s="10" t="n"/>
      <c r="D13" s="49" t="n"/>
      <c r="E13" s="21" t="n"/>
      <c r="F13" s="22" t="n"/>
      <c r="G13" s="9" t="n"/>
      <c r="H13" s="9" t="n"/>
      <c r="I13" s="10" t="n"/>
      <c r="J13" s="11" t="n"/>
      <c r="K13" s="11" t="n"/>
    </row>
    <row r="14">
      <c r="B14" s="9">
        <f>MAX(B$5:B13)+1</f>
        <v/>
      </c>
      <c r="C14" s="10" t="n"/>
      <c r="D14" s="49" t="n"/>
      <c r="E14" s="21" t="n"/>
      <c r="F14" s="22" t="n"/>
      <c r="G14" s="9" t="n"/>
      <c r="H14" s="9" t="n"/>
      <c r="I14" s="10" t="n"/>
      <c r="J14" s="11" t="n"/>
      <c r="K14" s="11" t="n"/>
    </row>
    <row r="15">
      <c r="B15" s="9">
        <f>MAX(B$5:B14)+1</f>
        <v/>
      </c>
      <c r="C15" s="10" t="n"/>
      <c r="D15" s="49" t="n"/>
      <c r="E15" s="21" t="n"/>
      <c r="F15" s="22" t="n"/>
      <c r="G15" s="9" t="n"/>
      <c r="H15" s="9" t="n"/>
      <c r="I15" s="10" t="n"/>
      <c r="J15" s="11" t="n"/>
      <c r="K15" s="11" t="n"/>
    </row>
    <row r="16">
      <c r="B16" s="9">
        <f>MAX(B$5:B15)+1</f>
        <v/>
      </c>
      <c r="C16" s="10" t="n"/>
      <c r="D16" s="49" t="n"/>
      <c r="E16" s="21" t="n"/>
      <c r="F16" s="22" t="n"/>
      <c r="G16" s="9" t="n"/>
      <c r="H16" s="9" t="n"/>
      <c r="I16" s="10" t="n"/>
      <c r="J16" s="11" t="n"/>
      <c r="K16" s="11" t="n"/>
    </row>
    <row r="17">
      <c r="B17" s="9">
        <f>MAX(B$5:B16)+1</f>
        <v/>
      </c>
      <c r="C17" s="10" t="n"/>
      <c r="D17" s="49" t="n"/>
      <c r="E17" s="21" t="n"/>
      <c r="F17" s="22" t="n"/>
      <c r="G17" s="9" t="n"/>
      <c r="H17" s="9" t="n"/>
      <c r="I17" s="10" t="n"/>
      <c r="J17" s="11" t="n"/>
      <c r="K17" s="11" t="n"/>
    </row>
    <row r="18">
      <c r="B18" s="9">
        <f>MAX(B$5:B17)+1</f>
        <v/>
      </c>
      <c r="C18" s="10" t="n"/>
      <c r="D18" s="49" t="n"/>
      <c r="E18" s="21" t="n"/>
      <c r="F18" s="22" t="n"/>
      <c r="G18" s="9" t="n"/>
      <c r="H18" s="9" t="n"/>
      <c r="I18" s="10" t="n"/>
      <c r="J18" s="11" t="n"/>
      <c r="K18" s="11" t="n"/>
    </row>
    <row r="19">
      <c r="B19" s="9">
        <f>MAX(B$5:B18)+1</f>
        <v/>
      </c>
      <c r="C19" s="10" t="n"/>
      <c r="D19" s="49" t="n"/>
      <c r="E19" s="21" t="n"/>
      <c r="F19" s="22" t="n"/>
      <c r="G19" s="9" t="n"/>
      <c r="H19" s="9" t="n"/>
      <c r="I19" s="10" t="n"/>
      <c r="J19" s="11" t="n"/>
      <c r="K19" s="11" t="n"/>
    </row>
    <row r="20">
      <c r="B20" s="9">
        <f>MAX(B$5:B19)+1</f>
        <v/>
      </c>
      <c r="C20" s="10" t="n"/>
      <c r="D20" s="49" t="n"/>
      <c r="E20" s="21" t="n"/>
      <c r="F20" s="22" t="n"/>
      <c r="G20" s="9" t="n"/>
      <c r="H20" s="9" t="n"/>
      <c r="I20" s="10" t="n"/>
      <c r="J20" s="11" t="n"/>
      <c r="K20" s="11" t="n"/>
    </row>
    <row r="21">
      <c r="B21" s="9">
        <f>MAX(B$5:B20)+1</f>
        <v/>
      </c>
      <c r="C21" s="10" t="n"/>
      <c r="D21" s="49" t="n"/>
      <c r="E21" s="21" t="n"/>
      <c r="F21" s="22" t="n"/>
      <c r="G21" s="9" t="n"/>
      <c r="H21" s="9" t="n"/>
      <c r="I21" s="10" t="n"/>
      <c r="J21" s="11" t="n"/>
      <c r="K21" s="11" t="n"/>
    </row>
    <row r="22">
      <c r="B22" s="9">
        <f>MAX(B$5:B21)+1</f>
        <v/>
      </c>
      <c r="C22" s="10" t="n"/>
      <c r="D22" s="49" t="n"/>
      <c r="E22" s="21" t="n"/>
      <c r="F22" s="22" t="n"/>
      <c r="G22" s="9" t="n"/>
      <c r="H22" s="9" t="n"/>
      <c r="I22" s="10" t="n"/>
      <c r="J22" s="11" t="n"/>
      <c r="K22" s="11" t="n"/>
    </row>
    <row r="23">
      <c r="B23" s="9">
        <f>MAX(B$5:B22)+1</f>
        <v/>
      </c>
      <c r="C23" s="10" t="n"/>
      <c r="D23" s="49" t="n"/>
      <c r="E23" s="21" t="n"/>
      <c r="F23" s="22" t="n"/>
      <c r="G23" s="9" t="n"/>
      <c r="H23" s="9" t="n"/>
      <c r="I23" s="10" t="n"/>
      <c r="J23" s="11" t="n"/>
      <c r="K23" s="11" t="n"/>
    </row>
    <row r="24" customFormat="1" s="4">
      <c r="B24" s="9">
        <f>MAX(B$5:B23)+1</f>
        <v/>
      </c>
      <c r="C24" s="10" t="n"/>
      <c r="D24" s="49" t="n"/>
      <c r="E24" s="21" t="n"/>
      <c r="F24" s="22" t="n"/>
      <c r="G24" s="9" t="n"/>
      <c r="H24" s="9" t="n"/>
      <c r="I24" s="10" t="n"/>
      <c r="J24" s="1" t="n"/>
      <c r="K24" s="11" t="n"/>
    </row>
    <row r="25">
      <c r="B25" s="9">
        <f>MAX(B$5:B24)+1</f>
        <v/>
      </c>
      <c r="C25" s="10" t="n"/>
      <c r="D25" s="49" t="n"/>
      <c r="E25" s="21" t="n"/>
      <c r="F25" s="22" t="n"/>
      <c r="G25" s="9" t="n"/>
      <c r="H25" s="9" t="n"/>
      <c r="I25" s="10" t="n"/>
      <c r="J25" s="11" t="n"/>
      <c r="K25" s="11" t="n"/>
    </row>
    <row r="26" customFormat="1" s="4">
      <c r="B26" s="9">
        <f>MAX(B$5:B25)+1</f>
        <v/>
      </c>
      <c r="C26" s="10" t="n"/>
      <c r="D26" s="49" t="n"/>
      <c r="E26" s="21" t="n"/>
      <c r="F26" s="22" t="n"/>
      <c r="G26" s="9" t="n"/>
      <c r="H26" s="9" t="n"/>
      <c r="I26" s="10" t="n"/>
      <c r="J26" s="11" t="n"/>
      <c r="K26" s="11" t="n"/>
    </row>
    <row r="27">
      <c r="B27" s="9">
        <f>MAX(B$5:B26)+1</f>
        <v/>
      </c>
      <c r="C27" s="10" t="n"/>
      <c r="D27" s="49" t="n"/>
      <c r="E27" s="21" t="n"/>
      <c r="F27" s="22" t="n"/>
      <c r="G27" s="9" t="n"/>
      <c r="H27" s="9" t="n"/>
      <c r="I27" s="10" t="n"/>
      <c r="J27" s="11" t="n"/>
      <c r="K27" s="11" t="n"/>
    </row>
    <row r="28">
      <c r="B28" s="9">
        <f>MAX(B$5:B27)+1</f>
        <v/>
      </c>
      <c r="C28" s="10" t="n"/>
      <c r="D28" s="49" t="n"/>
      <c r="E28" s="21" t="n"/>
      <c r="F28" s="22" t="n"/>
      <c r="G28" s="9" t="n"/>
      <c r="H28" s="9" t="n"/>
      <c r="I28" s="10" t="n"/>
      <c r="J28" s="11" t="n"/>
      <c r="K28" s="11" t="n"/>
    </row>
    <row r="29">
      <c r="B29" s="9">
        <f>MAX(B$5:B28)+1</f>
        <v/>
      </c>
      <c r="C29" s="10" t="n"/>
      <c r="D29" s="49" t="n"/>
      <c r="E29" s="21" t="n"/>
      <c r="F29" s="22" t="n"/>
      <c r="G29" s="9" t="n"/>
      <c r="H29" s="9" t="n"/>
      <c r="I29" s="10" t="n"/>
      <c r="J29" s="11" t="n"/>
      <c r="K29" s="11" t="n"/>
    </row>
    <row r="30">
      <c r="B30" s="9">
        <f>MAX(B$5:B29)+1</f>
        <v/>
      </c>
      <c r="C30" s="10" t="n"/>
      <c r="D30" s="49" t="n"/>
      <c r="E30" s="21" t="n"/>
      <c r="F30" s="22" t="n"/>
      <c r="G30" s="9" t="n"/>
      <c r="H30" s="9" t="n"/>
      <c r="I30" s="10" t="n"/>
      <c r="J30" s="11" t="n"/>
      <c r="K30" s="11" t="n"/>
    </row>
    <row r="31">
      <c r="B31" s="9">
        <f>MAX(B$5:B30)+1</f>
        <v/>
      </c>
      <c r="C31" s="10" t="n"/>
      <c r="D31" s="49" t="n"/>
      <c r="E31" s="21" t="n"/>
      <c r="F31" s="22" t="n"/>
      <c r="G31" s="9" t="n"/>
      <c r="H31" s="9" t="n"/>
      <c r="I31" s="10" t="n"/>
      <c r="J31" s="11" t="n"/>
      <c r="K31" s="11" t="n"/>
    </row>
    <row r="32">
      <c r="B32" s="9">
        <f>MAX(B$5:B31)+1</f>
        <v/>
      </c>
      <c r="C32" s="10" t="n"/>
      <c r="D32" s="49" t="n"/>
      <c r="E32" s="21" t="n"/>
      <c r="F32" s="22" t="n"/>
      <c r="G32" s="9" t="n"/>
      <c r="H32" s="9" t="n"/>
      <c r="I32" s="10" t="n"/>
      <c r="J32" s="11" t="n"/>
      <c r="K32" s="11" t="n"/>
    </row>
    <row r="33">
      <c r="B33" s="9">
        <f>MAX(B$5:B32)+1</f>
        <v/>
      </c>
      <c r="C33" s="10" t="n"/>
      <c r="D33" s="49" t="n"/>
      <c r="E33" s="21" t="n"/>
      <c r="F33" s="22" t="n"/>
      <c r="G33" s="9" t="n"/>
      <c r="H33" s="9" t="n"/>
      <c r="I33" s="10" t="n"/>
      <c r="J33" s="11" t="n"/>
      <c r="K33" s="11" t="n"/>
    </row>
    <row r="34">
      <c r="B34" s="9">
        <f>MAX(B$5:B33)+1</f>
        <v/>
      </c>
      <c r="C34" s="10" t="n"/>
      <c r="D34" s="49" t="n"/>
      <c r="E34" s="21" t="n"/>
      <c r="F34" s="22" t="n"/>
      <c r="G34" s="9" t="n"/>
      <c r="H34" s="9" t="n"/>
      <c r="I34" s="10" t="n"/>
      <c r="J34" s="11" t="n"/>
      <c r="K34" s="11" t="n"/>
    </row>
    <row r="35">
      <c r="B35" s="9">
        <f>MAX(B$5:B34)+1</f>
        <v/>
      </c>
      <c r="C35" s="10" t="n"/>
      <c r="D35" s="49" t="n"/>
      <c r="E35" s="21" t="n"/>
      <c r="F35" s="22" t="n"/>
      <c r="G35" s="9" t="n"/>
      <c r="H35" s="9" t="n"/>
      <c r="I35" s="10" t="n"/>
      <c r="J35" s="11" t="n"/>
      <c r="K35" s="11" t="n"/>
    </row>
    <row r="36">
      <c r="B36" s="9">
        <f>MAX(B$5:B35)+1</f>
        <v/>
      </c>
      <c r="C36" s="10" t="n"/>
      <c r="D36" s="49" t="n"/>
      <c r="E36" s="21" t="n"/>
      <c r="F36" s="22" t="n"/>
      <c r="G36" s="9" t="n"/>
      <c r="H36" s="9" t="n"/>
      <c r="I36" s="10" t="n"/>
      <c r="J36" s="11" t="n"/>
      <c r="K36" s="11" t="n"/>
    </row>
    <row r="37">
      <c r="B37" s="9">
        <f>MAX(B$5:B36)+1</f>
        <v/>
      </c>
      <c r="C37" s="10" t="n"/>
      <c r="D37" s="49" t="n"/>
      <c r="E37" s="21" t="n"/>
      <c r="F37" s="22" t="n"/>
      <c r="G37" s="9" t="n"/>
      <c r="H37" s="9" t="n"/>
      <c r="I37" s="10" t="n"/>
      <c r="J37" s="11" t="n"/>
      <c r="K37" s="11" t="n"/>
    </row>
    <row r="38">
      <c r="B38" s="9">
        <f>MAX(B$5:B37)+1</f>
        <v/>
      </c>
      <c r="C38" s="10" t="n"/>
      <c r="D38" s="49" t="n"/>
      <c r="E38" s="21" t="n"/>
      <c r="F38" s="22" t="n"/>
      <c r="G38" s="9" t="n"/>
      <c r="H38" s="9" t="n"/>
      <c r="I38" s="10" t="n"/>
      <c r="J38" s="11" t="n"/>
      <c r="K38" s="11" t="n"/>
    </row>
    <row r="39">
      <c r="B39" s="9">
        <f>MAX(B$5:B38)+1</f>
        <v/>
      </c>
      <c r="C39" s="10" t="n"/>
      <c r="D39" s="49" t="n"/>
      <c r="E39" s="21" t="n"/>
      <c r="F39" s="22" t="n"/>
      <c r="G39" s="9" t="n"/>
      <c r="H39" s="9" t="n"/>
      <c r="I39" s="10" t="n"/>
      <c r="J39" s="11" t="n"/>
      <c r="K39" s="11" t="n"/>
    </row>
    <row r="40">
      <c r="B40" s="9">
        <f>MAX(B$5:B39)+1</f>
        <v/>
      </c>
      <c r="C40" s="10" t="n"/>
      <c r="D40" s="49" t="n"/>
      <c r="E40" s="21" t="n"/>
      <c r="F40" s="22" t="n"/>
      <c r="G40" s="9" t="n"/>
      <c r="H40" s="9" t="n"/>
      <c r="I40" s="10" t="n"/>
      <c r="J40" s="11" t="n"/>
      <c r="K40" s="11" t="n"/>
    </row>
    <row r="41">
      <c r="B41" s="9">
        <f>MAX(B$5:B40)+1</f>
        <v/>
      </c>
      <c r="C41" s="10" t="n"/>
      <c r="D41" s="49" t="n"/>
      <c r="E41" s="21" t="n"/>
      <c r="F41" s="22" t="n"/>
      <c r="G41" s="9" t="n"/>
      <c r="H41" s="9" t="n"/>
      <c r="I41" s="10" t="n"/>
      <c r="J41" s="11" t="n"/>
      <c r="K41" s="11" t="n"/>
    </row>
    <row r="42">
      <c r="B42" s="9">
        <f>MAX(B$5:B41)+1</f>
        <v/>
      </c>
      <c r="C42" s="10" t="n"/>
      <c r="D42" s="49" t="n"/>
      <c r="E42" s="21" t="n"/>
      <c r="F42" s="22" t="n"/>
      <c r="G42" s="9" t="n"/>
      <c r="H42" s="9" t="n"/>
      <c r="I42" s="10" t="n"/>
      <c r="J42" s="11" t="n"/>
      <c r="K42" s="11" t="n"/>
    </row>
    <row r="43">
      <c r="B43" s="9">
        <f>MAX(B$5:B42)+1</f>
        <v/>
      </c>
      <c r="C43" s="10" t="n"/>
      <c r="D43" s="49" t="n"/>
      <c r="E43" s="21" t="n"/>
      <c r="F43" s="22" t="n"/>
      <c r="G43" s="9" t="n"/>
      <c r="H43" s="9" t="n"/>
      <c r="I43" s="10" t="n"/>
      <c r="J43" s="11" t="n"/>
      <c r="K43" s="11" t="n"/>
    </row>
    <row r="44">
      <c r="B44" s="9">
        <f>MAX(B$5:B43)+1</f>
        <v/>
      </c>
      <c r="C44" s="10" t="n"/>
      <c r="D44" s="49" t="n"/>
      <c r="E44" s="21" t="n"/>
      <c r="F44" s="22" t="n"/>
      <c r="G44" s="9" t="n"/>
      <c r="H44" s="9" t="n"/>
      <c r="I44" s="10" t="n"/>
      <c r="J44" s="11" t="n"/>
      <c r="K44" s="11" t="n"/>
    </row>
    <row r="45">
      <c r="B45" s="9">
        <f>MAX(B$5:B44)+1</f>
        <v/>
      </c>
      <c r="C45" s="10" t="n"/>
      <c r="D45" s="49" t="n"/>
      <c r="E45" s="21" t="n"/>
      <c r="F45" s="22" t="n"/>
      <c r="G45" s="9" t="n"/>
      <c r="H45" s="9" t="n"/>
      <c r="I45" s="10" t="n"/>
      <c r="J45" s="11" t="n"/>
      <c r="K45" s="11" t="n"/>
    </row>
    <row r="46">
      <c r="B46" s="9">
        <f>MAX(B$5:B45)+1</f>
        <v/>
      </c>
      <c r="C46" s="10" t="n"/>
      <c r="D46" s="49" t="n"/>
      <c r="E46" s="21" t="n"/>
      <c r="F46" s="22" t="n"/>
      <c r="G46" s="9" t="n"/>
      <c r="H46" s="9" t="n"/>
      <c r="I46" s="10" t="n"/>
      <c r="J46" s="11" t="n"/>
      <c r="K46" s="11" t="n"/>
    </row>
    <row r="47">
      <c r="B47" s="9">
        <f>MAX(B$5:B46)+1</f>
        <v/>
      </c>
      <c r="C47" s="10" t="n"/>
      <c r="D47" s="49" t="n"/>
      <c r="E47" s="21" t="n"/>
      <c r="F47" s="22" t="n"/>
      <c r="G47" s="9" t="n"/>
      <c r="H47" s="9" t="n"/>
      <c r="I47" s="10" t="n"/>
      <c r="J47" s="11" t="n"/>
      <c r="K47" s="11" t="n"/>
    </row>
    <row r="48">
      <c r="B48" s="9">
        <f>MAX(B$5:B47)+1</f>
        <v/>
      </c>
      <c r="C48" s="10" t="n"/>
      <c r="D48" s="49" t="n"/>
      <c r="E48" s="21" t="n"/>
      <c r="F48" s="22" t="n"/>
      <c r="G48" s="9" t="n"/>
      <c r="H48" s="9" t="n"/>
      <c r="I48" s="10" t="n"/>
      <c r="J48" s="11" t="n"/>
      <c r="K48" s="11" t="n"/>
    </row>
    <row r="49">
      <c r="B49" s="9">
        <f>MAX(B$5:B48)+1</f>
        <v/>
      </c>
      <c r="C49" s="10" t="n"/>
      <c r="D49" s="49" t="n"/>
      <c r="E49" s="21" t="n"/>
      <c r="F49" s="22" t="n"/>
      <c r="G49" s="9" t="n"/>
      <c r="H49" s="9" t="n"/>
      <c r="I49" s="10" t="n"/>
      <c r="J49" s="11" t="n"/>
      <c r="K49" s="11" t="n"/>
    </row>
    <row r="50">
      <c r="B50" s="9">
        <f>MAX(B$5:B49)+1</f>
        <v/>
      </c>
      <c r="C50" s="10" t="n"/>
      <c r="D50" s="49" t="n"/>
      <c r="E50" s="21" t="n"/>
      <c r="F50" s="22" t="n"/>
      <c r="G50" s="9" t="n"/>
      <c r="H50" s="9" t="n"/>
      <c r="I50" s="10" t="n"/>
      <c r="J50" s="11" t="n"/>
      <c r="K50" s="11" t="n"/>
    </row>
    <row r="51">
      <c r="B51" s="9">
        <f>MAX(B$5:B50)+1</f>
        <v/>
      </c>
      <c r="C51" s="10" t="n"/>
      <c r="D51" s="49" t="n"/>
      <c r="E51" s="21" t="n"/>
      <c r="F51" s="22" t="n"/>
      <c r="G51" s="9" t="n"/>
      <c r="H51" s="9" t="n"/>
      <c r="I51" s="10" t="n"/>
      <c r="J51" s="11" t="n"/>
      <c r="K51" s="11" t="n"/>
    </row>
    <row r="52">
      <c r="B52" s="9">
        <f>MAX(B$5:B51)+1</f>
        <v/>
      </c>
      <c r="C52" s="10" t="n"/>
      <c r="D52" s="49" t="n"/>
      <c r="E52" s="21" t="n"/>
      <c r="F52" s="22" t="n"/>
      <c r="G52" s="9" t="n"/>
      <c r="H52" s="9" t="n"/>
      <c r="I52" s="10" t="n"/>
      <c r="J52" s="11" t="n"/>
      <c r="K52" s="11" t="n"/>
    </row>
    <row r="53">
      <c r="B53" s="9">
        <f>MAX(B$5:B52)+1</f>
        <v/>
      </c>
      <c r="C53" s="10" t="n"/>
      <c r="D53" s="49" t="n"/>
      <c r="E53" s="21" t="n"/>
      <c r="F53" s="22" t="n"/>
      <c r="G53" s="9" t="n"/>
      <c r="H53" s="9" t="n"/>
      <c r="I53" s="10" t="n"/>
      <c r="J53" s="11" t="n"/>
      <c r="K53" s="11" t="n"/>
    </row>
    <row r="54">
      <c r="B54" s="9">
        <f>MAX(B$5:B53)+1</f>
        <v/>
      </c>
      <c r="C54" s="10" t="n"/>
      <c r="D54" s="49" t="n"/>
      <c r="E54" s="21" t="n"/>
      <c r="F54" s="22" t="n"/>
      <c r="G54" s="9" t="n"/>
      <c r="H54" s="9" t="n"/>
      <c r="I54" s="10" t="n"/>
      <c r="J54" s="11" t="n"/>
      <c r="K54" s="11" t="n"/>
    </row>
    <row r="55">
      <c r="B55" s="9">
        <f>MAX(B$5:B54)+1</f>
        <v/>
      </c>
      <c r="C55" s="10" t="n"/>
      <c r="D55" s="49" t="n"/>
      <c r="E55" s="21" t="n"/>
      <c r="F55" s="22" t="n"/>
      <c r="G55" s="9" t="n"/>
      <c r="H55" s="9" t="n"/>
      <c r="I55" s="10" t="n"/>
      <c r="J55" s="11" t="n"/>
      <c r="K55" s="11" t="n"/>
    </row>
    <row r="56">
      <c r="B56" s="9">
        <f>MAX(B$5:B55)+1</f>
        <v/>
      </c>
      <c r="C56" s="10" t="n"/>
      <c r="D56" s="49" t="n"/>
      <c r="E56" s="21" t="n"/>
      <c r="F56" s="22" t="n"/>
      <c r="G56" s="9" t="n"/>
      <c r="H56" s="9" t="n"/>
      <c r="I56" s="10" t="n"/>
      <c r="J56" s="11" t="n"/>
      <c r="K56" s="11" t="n"/>
    </row>
    <row r="57">
      <c r="B57" s="9">
        <f>MAX(B$5:B56)+1</f>
        <v/>
      </c>
      <c r="C57" s="10" t="n"/>
      <c r="D57" s="49" t="n"/>
      <c r="E57" s="21" t="n"/>
      <c r="F57" s="22" t="n"/>
      <c r="G57" s="9" t="n"/>
      <c r="H57" s="9" t="n"/>
      <c r="I57" s="10" t="n"/>
      <c r="J57" s="11" t="n"/>
      <c r="K57" s="11" t="n"/>
    </row>
    <row r="58">
      <c r="B58" s="9">
        <f>MAX(B$5:B57)+1</f>
        <v/>
      </c>
      <c r="C58" s="10" t="n"/>
      <c r="D58" s="49" t="n"/>
      <c r="E58" s="21" t="n"/>
      <c r="F58" s="22" t="n"/>
      <c r="G58" s="9" t="n"/>
      <c r="H58" s="9" t="n"/>
      <c r="I58" s="10" t="n"/>
      <c r="J58" s="11" t="n"/>
      <c r="K58" s="11" t="n"/>
    </row>
    <row r="59">
      <c r="B59" s="9">
        <f>MAX(B$5:B58)+1</f>
        <v/>
      </c>
      <c r="C59" s="10" t="n"/>
      <c r="D59" s="49" t="n"/>
      <c r="E59" s="21" t="n"/>
      <c r="F59" s="22" t="n"/>
      <c r="G59" s="9" t="n"/>
      <c r="H59" s="9" t="n"/>
      <c r="I59" s="10" t="n"/>
      <c r="J59" s="11" t="n"/>
      <c r="K59" s="11" t="n"/>
    </row>
    <row r="60">
      <c r="B60" s="9">
        <f>MAX(B$5:B59)+1</f>
        <v/>
      </c>
      <c r="C60" s="10" t="n"/>
      <c r="D60" s="49" t="n"/>
      <c r="E60" s="21" t="n"/>
      <c r="F60" s="22" t="n"/>
      <c r="G60" s="9" t="n"/>
      <c r="H60" s="9" t="n"/>
      <c r="I60" s="10" t="n"/>
      <c r="J60" s="11" t="n"/>
      <c r="K60" s="11" t="n"/>
    </row>
    <row r="61">
      <c r="B61" s="9">
        <f>MAX(B$5:B60)+1</f>
        <v/>
      </c>
      <c r="C61" s="10" t="n"/>
      <c r="D61" s="49" t="n"/>
      <c r="E61" s="21" t="n"/>
      <c r="F61" s="22" t="n"/>
      <c r="G61" s="9" t="n"/>
      <c r="H61" s="9" t="n"/>
      <c r="I61" s="10" t="n"/>
      <c r="J61" s="11" t="n"/>
      <c r="K61" s="11" t="n"/>
    </row>
    <row r="62">
      <c r="B62" s="9">
        <f>MAX(B$5:B61)+1</f>
        <v/>
      </c>
      <c r="C62" s="10" t="n"/>
      <c r="D62" s="49" t="n"/>
      <c r="E62" s="21" t="n"/>
      <c r="F62" s="22" t="n"/>
      <c r="G62" s="9" t="n"/>
      <c r="H62" s="9" t="n"/>
      <c r="I62" s="10" t="n"/>
      <c r="J62" s="11" t="n"/>
      <c r="K62" s="11" t="n"/>
    </row>
    <row r="63">
      <c r="B63" s="9">
        <f>MAX(B$5:B62)+1</f>
        <v/>
      </c>
      <c r="C63" s="10" t="n"/>
      <c r="D63" s="49" t="n"/>
      <c r="E63" s="21" t="n"/>
      <c r="F63" s="22" t="n"/>
      <c r="G63" s="9" t="n"/>
      <c r="H63" s="9" t="n"/>
      <c r="I63" s="10" t="n"/>
      <c r="J63" s="11" t="n"/>
      <c r="K63" s="11" t="n"/>
    </row>
    <row r="64">
      <c r="B64" s="9">
        <f>MAX(B$5:B63)+1</f>
        <v/>
      </c>
      <c r="C64" s="10" t="n"/>
      <c r="D64" s="49" t="n"/>
      <c r="E64" s="21" t="n"/>
      <c r="F64" s="22" t="n"/>
      <c r="G64" s="9" t="n"/>
      <c r="H64" s="9" t="n"/>
      <c r="I64" s="10" t="n"/>
      <c r="J64" s="11" t="n"/>
      <c r="K64" s="11" t="n"/>
    </row>
    <row r="65">
      <c r="B65" s="9">
        <f>MAX(B$5:B64)+1</f>
        <v/>
      </c>
      <c r="C65" s="10" t="n"/>
      <c r="D65" s="49" t="n"/>
      <c r="E65" s="21" t="n"/>
      <c r="F65" s="22" t="n"/>
      <c r="G65" s="9" t="n"/>
      <c r="H65" s="9" t="n"/>
      <c r="I65" s="10" t="n"/>
      <c r="J65" s="11" t="n"/>
      <c r="K65" s="11" t="n"/>
    </row>
    <row r="66">
      <c r="B66" s="9">
        <f>MAX(B$5:B65)+1</f>
        <v/>
      </c>
      <c r="C66" s="10" t="n"/>
      <c r="D66" s="49" t="n"/>
      <c r="E66" s="21" t="n"/>
      <c r="F66" s="22" t="n"/>
      <c r="G66" s="9" t="n"/>
      <c r="H66" s="9" t="n"/>
      <c r="I66" s="10" t="n"/>
      <c r="J66" s="11" t="n"/>
      <c r="K66" s="11" t="n"/>
    </row>
    <row r="67">
      <c r="B67" s="9">
        <f>MAX(B$5:B66)+1</f>
        <v/>
      </c>
      <c r="C67" s="10" t="n"/>
      <c r="D67" s="49" t="n"/>
      <c r="E67" s="21" t="n"/>
      <c r="F67" s="22" t="n"/>
      <c r="G67" s="9" t="n"/>
      <c r="H67" s="9" t="n"/>
      <c r="I67" s="10" t="n"/>
      <c r="J67" s="11" t="n"/>
      <c r="K67" s="11" t="n"/>
    </row>
    <row r="68">
      <c r="B68" s="9">
        <f>MAX(B$5:B67)+1</f>
        <v/>
      </c>
      <c r="C68" s="10" t="n"/>
      <c r="D68" s="49" t="n"/>
      <c r="E68" s="21" t="n"/>
      <c r="F68" s="22" t="n"/>
      <c r="G68" s="9" t="n"/>
      <c r="H68" s="9" t="n"/>
      <c r="I68" s="10" t="n"/>
      <c r="J68" s="11" t="n"/>
      <c r="K68" s="11" t="n"/>
    </row>
    <row r="69">
      <c r="B69" s="9">
        <f>MAX(B$5:B68)+1</f>
        <v/>
      </c>
      <c r="C69" s="10" t="n"/>
      <c r="D69" s="49" t="n"/>
      <c r="E69" s="21" t="n"/>
      <c r="F69" s="22" t="n"/>
      <c r="G69" s="9" t="n"/>
      <c r="H69" s="9" t="n"/>
      <c r="I69" s="10" t="n"/>
      <c r="J69" s="11" t="n"/>
      <c r="K69" s="11" t="n"/>
    </row>
    <row r="70">
      <c r="B70" s="9">
        <f>MAX(B$5:B69)+1</f>
        <v/>
      </c>
      <c r="C70" s="10" t="n"/>
      <c r="D70" s="49" t="n"/>
      <c r="E70" s="21" t="n"/>
      <c r="F70" s="22" t="n"/>
      <c r="G70" s="9" t="n"/>
      <c r="H70" s="9" t="n"/>
      <c r="I70" s="10" t="n"/>
      <c r="J70" s="11" t="n"/>
      <c r="K70" s="11" t="n"/>
    </row>
    <row r="71">
      <c r="B71" s="9">
        <f>MAX(B$5:B70)+1</f>
        <v/>
      </c>
      <c r="C71" s="10" t="n"/>
      <c r="D71" s="49" t="n"/>
      <c r="E71" s="21" t="n"/>
      <c r="F71" s="22" t="n"/>
      <c r="G71" s="9" t="n"/>
      <c r="H71" s="9" t="n"/>
      <c r="I71" s="10" t="n"/>
      <c r="J71" s="11" t="n"/>
      <c r="K71" s="11" t="n"/>
    </row>
    <row r="72">
      <c r="B72" s="9">
        <f>MAX(B$5:B71)+1</f>
        <v/>
      </c>
      <c r="C72" s="10" t="n"/>
      <c r="D72" s="49" t="n"/>
      <c r="E72" s="21" t="n"/>
      <c r="F72" s="22" t="n"/>
      <c r="G72" s="9" t="n"/>
      <c r="H72" s="9" t="n"/>
      <c r="I72" s="10" t="n"/>
      <c r="J72" s="11" t="n"/>
      <c r="K72" s="11" t="n"/>
    </row>
    <row r="73">
      <c r="B73" s="9">
        <f>MAX(B$5:B72)+1</f>
        <v/>
      </c>
      <c r="C73" s="10" t="n"/>
      <c r="D73" s="49" t="n"/>
      <c r="E73" s="21" t="n"/>
      <c r="F73" s="22" t="n"/>
      <c r="G73" s="9" t="n"/>
      <c r="H73" s="9" t="n"/>
      <c r="I73" s="10" t="n"/>
      <c r="J73" s="11" t="n"/>
      <c r="K73" s="11" t="n"/>
    </row>
    <row r="74">
      <c r="B74" s="9">
        <f>MAX(B$5:B73)+1</f>
        <v/>
      </c>
      <c r="C74" s="10" t="n"/>
      <c r="D74" s="49" t="n"/>
      <c r="E74" s="21" t="n"/>
      <c r="F74" s="22" t="n"/>
      <c r="G74" s="9" t="n"/>
      <c r="H74" s="9" t="n"/>
      <c r="I74" s="10" t="n"/>
      <c r="J74" s="11" t="n"/>
      <c r="K74" s="11" t="n"/>
    </row>
    <row r="75">
      <c r="B75" s="9">
        <f>MAX(B$5:B74)+1</f>
        <v/>
      </c>
      <c r="C75" s="10" t="n"/>
      <c r="D75" s="49" t="n"/>
      <c r="E75" s="21" t="n"/>
      <c r="F75" s="22" t="n"/>
      <c r="G75" s="9" t="n"/>
      <c r="H75" s="9" t="n"/>
      <c r="I75" s="10" t="n"/>
      <c r="J75" s="11" t="n"/>
      <c r="K75" s="11" t="n"/>
    </row>
    <row r="76">
      <c r="B76" s="9">
        <f>MAX(B$5:B75)+1</f>
        <v/>
      </c>
      <c r="C76" s="10" t="n"/>
      <c r="D76" s="49" t="n"/>
      <c r="E76" s="21" t="n"/>
      <c r="F76" s="22" t="n"/>
      <c r="G76" s="9" t="n"/>
      <c r="H76" s="9" t="n"/>
      <c r="I76" s="10" t="n"/>
      <c r="J76" s="11" t="n"/>
      <c r="K76" s="11" t="n"/>
    </row>
    <row r="77">
      <c r="B77" s="9">
        <f>MAX(B$5:B76)+1</f>
        <v/>
      </c>
      <c r="C77" s="10" t="n"/>
      <c r="D77" s="49" t="n"/>
      <c r="E77" s="21" t="n"/>
      <c r="F77" s="22" t="n"/>
      <c r="G77" s="9" t="n"/>
      <c r="H77" s="9" t="n"/>
      <c r="I77" s="10" t="n"/>
      <c r="J77" s="11" t="n"/>
      <c r="K77" s="11" t="n"/>
    </row>
    <row r="78">
      <c r="B78" s="9">
        <f>MAX(B$5:B77)+1</f>
        <v/>
      </c>
      <c r="C78" s="10" t="n"/>
      <c r="D78" s="49" t="n"/>
      <c r="E78" s="21" t="n"/>
      <c r="F78" s="22" t="n"/>
      <c r="G78" s="9" t="n"/>
      <c r="H78" s="9" t="n"/>
      <c r="I78" s="10" t="n"/>
      <c r="J78" s="11" t="n"/>
      <c r="K78" s="11" t="n"/>
    </row>
    <row r="79">
      <c r="B79" s="9">
        <f>MAX(B$5:B78)+1</f>
        <v/>
      </c>
      <c r="C79" s="10" t="n"/>
      <c r="D79" s="49" t="n"/>
      <c r="E79" s="21" t="n"/>
      <c r="F79" s="22" t="n"/>
      <c r="G79" s="9" t="n"/>
      <c r="H79" s="9" t="n"/>
      <c r="I79" s="10" t="n"/>
      <c r="J79" s="11" t="n"/>
      <c r="K79" s="11" t="n"/>
    </row>
    <row r="80">
      <c r="B80" s="9">
        <f>MAX(B$5:B79)+1</f>
        <v/>
      </c>
      <c r="C80" s="10" t="n"/>
      <c r="D80" s="49" t="n"/>
      <c r="E80" s="21" t="n"/>
      <c r="F80" s="22" t="n"/>
      <c r="G80" s="9" t="n"/>
      <c r="H80" s="9" t="n"/>
      <c r="I80" s="10" t="n"/>
      <c r="J80" s="11" t="n"/>
      <c r="K80" s="11" t="n"/>
    </row>
    <row r="81">
      <c r="B81" s="9">
        <f>MAX(B$5:B80)+1</f>
        <v/>
      </c>
      <c r="C81" s="10" t="n"/>
      <c r="D81" s="49" t="n"/>
      <c r="E81" s="21" t="n"/>
      <c r="F81" s="22" t="n"/>
      <c r="G81" s="9" t="n"/>
      <c r="H81" s="9" t="n"/>
      <c r="I81" s="10" t="n"/>
      <c r="J81" s="11" t="n"/>
      <c r="K81" s="11" t="n"/>
    </row>
    <row r="82">
      <c r="B82" s="9">
        <f>MAX(B$5:B81)+1</f>
        <v/>
      </c>
      <c r="C82" s="10" t="n"/>
      <c r="D82" s="49" t="n"/>
      <c r="E82" s="21" t="n"/>
      <c r="F82" s="22" t="n"/>
      <c r="G82" s="9" t="n"/>
      <c r="H82" s="9" t="n"/>
      <c r="I82" s="10" t="n"/>
      <c r="J82" s="11" t="n"/>
      <c r="K82" s="11" t="n"/>
    </row>
    <row r="83">
      <c r="B83" s="9">
        <f>MAX(B$5:B82)+1</f>
        <v/>
      </c>
      <c r="C83" s="10" t="n"/>
      <c r="D83" s="49" t="n"/>
      <c r="E83" s="21" t="n"/>
      <c r="F83" s="22" t="n"/>
      <c r="G83" s="9" t="n"/>
      <c r="H83" s="9" t="n"/>
      <c r="I83" s="10" t="n"/>
      <c r="J83" s="11" t="n"/>
      <c r="K83" s="11" t="n"/>
    </row>
    <row r="84">
      <c r="B84" s="9">
        <f>MAX(B$5:B83)+1</f>
        <v/>
      </c>
      <c r="C84" s="10" t="n"/>
      <c r="D84" s="49" t="n"/>
      <c r="E84" s="21" t="n"/>
      <c r="F84" s="22" t="n"/>
      <c r="G84" s="9" t="n"/>
      <c r="H84" s="9" t="n"/>
      <c r="I84" s="10" t="n"/>
      <c r="J84" s="11" t="n"/>
      <c r="K84" s="11" t="n"/>
    </row>
    <row r="85">
      <c r="B85" s="9">
        <f>MAX(B$5:B84)+1</f>
        <v/>
      </c>
      <c r="C85" s="10" t="n"/>
      <c r="D85" s="49" t="n"/>
      <c r="E85" s="21" t="n"/>
      <c r="F85" s="22" t="n"/>
      <c r="G85" s="9" t="n"/>
      <c r="H85" s="9" t="n"/>
      <c r="I85" s="10" t="n"/>
      <c r="J85" s="11" t="n"/>
      <c r="K85" s="11" t="n"/>
    </row>
    <row r="86">
      <c r="B86" s="9">
        <f>MAX(B$5:B85)+1</f>
        <v/>
      </c>
      <c r="C86" s="10" t="n"/>
      <c r="D86" s="49" t="n"/>
      <c r="E86" s="21" t="n"/>
      <c r="F86" s="22" t="n"/>
      <c r="G86" s="9" t="n"/>
      <c r="H86" s="9" t="n"/>
      <c r="I86" s="10" t="n"/>
      <c r="J86" s="11" t="n"/>
      <c r="K86" s="11" t="n"/>
    </row>
    <row r="87">
      <c r="B87" s="9">
        <f>MAX(B$5:B86)+1</f>
        <v/>
      </c>
      <c r="C87" s="10" t="n"/>
      <c r="D87" s="49" t="n"/>
      <c r="E87" s="21" t="n"/>
      <c r="F87" s="22" t="n"/>
      <c r="G87" s="9" t="n"/>
      <c r="H87" s="9" t="n"/>
      <c r="I87" s="10" t="n"/>
      <c r="J87" s="11" t="n"/>
      <c r="K87" s="11" t="n"/>
    </row>
    <row r="88">
      <c r="B88" s="9">
        <f>MAX(B$5:B87)+1</f>
        <v/>
      </c>
      <c r="C88" s="10" t="n"/>
      <c r="D88" s="49" t="n"/>
      <c r="E88" s="21" t="n"/>
      <c r="F88" s="22" t="n"/>
      <c r="G88" s="9" t="n"/>
      <c r="H88" s="9" t="n"/>
      <c r="I88" s="10" t="n"/>
      <c r="J88" s="11" t="n"/>
      <c r="K88" s="11" t="n"/>
    </row>
    <row r="89">
      <c r="B89" s="9">
        <f>MAX(B$5:B88)+1</f>
        <v/>
      </c>
      <c r="C89" s="10" t="n"/>
      <c r="D89" s="49" t="n"/>
      <c r="E89" s="21" t="n"/>
      <c r="F89" s="22" t="n"/>
      <c r="G89" s="9" t="n"/>
      <c r="H89" s="9" t="n"/>
      <c r="I89" s="10" t="n"/>
      <c r="J89" s="11" t="n"/>
      <c r="K89" s="11" t="n"/>
    </row>
    <row r="90">
      <c r="B90" s="9">
        <f>MAX(B$5:B89)+1</f>
        <v/>
      </c>
      <c r="C90" s="10" t="n"/>
      <c r="D90" s="49" t="n"/>
      <c r="E90" s="21" t="n"/>
      <c r="F90" s="22" t="n"/>
      <c r="G90" s="9" t="n"/>
      <c r="H90" s="9" t="n"/>
      <c r="I90" s="10" t="n"/>
      <c r="J90" s="11" t="n"/>
      <c r="K90" s="11" t="n"/>
    </row>
    <row r="91">
      <c r="B91" s="9">
        <f>MAX(B$5:B90)+1</f>
        <v/>
      </c>
      <c r="C91" s="10" t="n"/>
      <c r="D91" s="49" t="n"/>
      <c r="E91" s="21" t="n"/>
      <c r="F91" s="22" t="n"/>
      <c r="G91" s="9" t="n"/>
      <c r="H91" s="9" t="n"/>
      <c r="I91" s="10" t="n"/>
      <c r="J91" s="11" t="n"/>
      <c r="K91" s="11" t="n"/>
    </row>
    <row r="92">
      <c r="B92" s="9">
        <f>MAX(B$5:B91)+1</f>
        <v/>
      </c>
      <c r="C92" s="10" t="n"/>
      <c r="D92" s="49" t="n"/>
      <c r="E92" s="21" t="n"/>
      <c r="F92" s="22" t="n"/>
      <c r="G92" s="9" t="n"/>
      <c r="H92" s="9" t="n"/>
      <c r="I92" s="10" t="n"/>
      <c r="J92" s="11" t="n"/>
      <c r="K92" s="11" t="n"/>
    </row>
    <row r="93">
      <c r="B93" s="9">
        <f>MAX(B$5:B92)+1</f>
        <v/>
      </c>
      <c r="C93" s="10" t="n"/>
      <c r="D93" s="49" t="n"/>
      <c r="E93" s="21" t="n"/>
      <c r="F93" s="22" t="n"/>
      <c r="G93" s="9" t="n"/>
      <c r="H93" s="9" t="n"/>
      <c r="I93" s="10" t="n"/>
      <c r="J93" s="11" t="n"/>
      <c r="K93" s="11" t="n"/>
    </row>
    <row r="94">
      <c r="B94" s="9">
        <f>MAX(B$5:B93)+1</f>
        <v/>
      </c>
      <c r="C94" s="10" t="n"/>
      <c r="D94" s="49" t="n"/>
      <c r="E94" s="21" t="n"/>
      <c r="F94" s="22" t="n"/>
      <c r="G94" s="9" t="n"/>
      <c r="H94" s="9" t="n"/>
      <c r="I94" s="10" t="n"/>
      <c r="J94" s="11" t="n"/>
      <c r="K94" s="11" t="n"/>
    </row>
    <row r="95">
      <c r="B95" s="9">
        <f>MAX(B$5:B94)+1</f>
        <v/>
      </c>
      <c r="C95" s="10" t="n"/>
      <c r="D95" s="49" t="n"/>
      <c r="E95" s="21" t="n"/>
      <c r="F95" s="22" t="n"/>
      <c r="G95" s="9" t="n"/>
      <c r="H95" s="9" t="n"/>
      <c r="I95" s="10" t="n"/>
      <c r="J95" s="11" t="n"/>
      <c r="K95" s="11" t="n"/>
    </row>
    <row r="96">
      <c r="B96" s="9">
        <f>MAX(B$5:B95)+1</f>
        <v/>
      </c>
      <c r="C96" s="10" t="n"/>
      <c r="D96" s="49" t="n"/>
      <c r="E96" s="21" t="n"/>
      <c r="F96" s="22" t="n"/>
      <c r="G96" s="9" t="n"/>
      <c r="H96" s="9" t="n"/>
      <c r="I96" s="10" t="n"/>
      <c r="J96" s="11" t="n"/>
      <c r="K96" s="11" t="n"/>
    </row>
    <row r="97">
      <c r="B97" s="9">
        <f>MAX(B$5:B96)+1</f>
        <v/>
      </c>
      <c r="C97" s="10" t="n"/>
      <c r="D97" s="49" t="n"/>
      <c r="E97" s="21" t="n"/>
      <c r="F97" s="22" t="n"/>
      <c r="G97" s="9" t="n"/>
      <c r="H97" s="9" t="n"/>
      <c r="I97" s="10" t="n"/>
      <c r="J97" s="11" t="n"/>
      <c r="K97" s="11" t="n"/>
    </row>
    <row r="98">
      <c r="B98" s="9">
        <f>MAX(B$5:B97)+1</f>
        <v/>
      </c>
      <c r="C98" s="10" t="n"/>
      <c r="D98" s="49" t="n"/>
      <c r="E98" s="21" t="n"/>
      <c r="F98" s="22" t="n"/>
      <c r="G98" s="9" t="n"/>
      <c r="H98" s="9" t="n"/>
      <c r="I98" s="10" t="n"/>
      <c r="J98" s="11" t="n"/>
      <c r="K98" s="11" t="n"/>
    </row>
    <row r="99">
      <c r="B99" s="9">
        <f>MAX(B$5:B98)+1</f>
        <v/>
      </c>
      <c r="C99" s="10" t="n"/>
      <c r="D99" s="49" t="n"/>
      <c r="E99" s="21" t="n"/>
      <c r="F99" s="22" t="n"/>
      <c r="G99" s="9" t="n"/>
      <c r="H99" s="9" t="n"/>
      <c r="I99" s="10" t="n"/>
      <c r="J99" s="11" t="n"/>
      <c r="K99" s="11" t="n"/>
    </row>
    <row r="100">
      <c r="B100" s="9">
        <f>MAX(B$5:B99)+1</f>
        <v/>
      </c>
      <c r="C100" s="10" t="n"/>
      <c r="D100" s="49" t="n"/>
      <c r="E100" s="21" t="n"/>
      <c r="F100" s="22" t="n"/>
      <c r="G100" s="9" t="n"/>
      <c r="H100" s="9" t="n"/>
      <c r="I100" s="10" t="n"/>
      <c r="J100" s="11" t="n"/>
      <c r="K100" s="11" t="n"/>
    </row>
    <row r="101">
      <c r="B101" s="9">
        <f>MAX(B$5:B100)+1</f>
        <v/>
      </c>
      <c r="C101" s="10" t="n"/>
      <c r="D101" s="49" t="n"/>
      <c r="E101" s="21" t="n"/>
      <c r="F101" s="22" t="n"/>
      <c r="G101" s="9" t="n"/>
      <c r="H101" s="9" t="n"/>
      <c r="I101" s="10" t="n"/>
      <c r="J101" s="11" t="n"/>
      <c r="K101" s="11" t="n"/>
    </row>
    <row r="102">
      <c r="B102" s="9">
        <f>MAX(B$5:B101)+1</f>
        <v/>
      </c>
      <c r="C102" s="10" t="n"/>
      <c r="D102" s="49" t="n"/>
      <c r="E102" s="21" t="n"/>
      <c r="F102" s="22" t="n"/>
      <c r="G102" s="9" t="n"/>
      <c r="H102" s="9" t="n"/>
      <c r="I102" s="10" t="n"/>
      <c r="J102" s="11" t="n"/>
      <c r="K102" s="11" t="n"/>
    </row>
    <row r="103">
      <c r="B103" s="9">
        <f>MAX(B$5:B102)+1</f>
        <v/>
      </c>
      <c r="C103" s="10" t="n"/>
      <c r="D103" s="49" t="n"/>
      <c r="E103" s="21" t="n"/>
      <c r="F103" s="22" t="n"/>
      <c r="G103" s="9" t="n"/>
      <c r="H103" s="9" t="n"/>
      <c r="I103" s="10" t="n"/>
      <c r="J103" s="11" t="n"/>
      <c r="K103" s="11" t="n"/>
    </row>
    <row r="104">
      <c r="B104" s="9">
        <f>MAX(B$5:B103)+1</f>
        <v/>
      </c>
      <c r="C104" s="10" t="n"/>
      <c r="D104" s="49" t="n"/>
      <c r="E104" s="21" t="n"/>
      <c r="F104" s="22" t="n"/>
      <c r="G104" s="9" t="n"/>
      <c r="H104" s="9" t="n"/>
      <c r="I104" s="10" t="n"/>
      <c r="J104" s="11" t="n"/>
      <c r="K104" s="11" t="n"/>
    </row>
  </sheetData>
  <autoFilter ref="B4:K100"/>
  <conditionalFormatting sqref="G5:G496">
    <cfRule type="expression" priority="142" dxfId="5">
      <formula>SEARCH("Medium",$G5)&gt;0</formula>
    </cfRule>
    <cfRule type="expression" priority="225" dxfId="4">
      <formula>SEARCH("High",$G5)&gt;0</formula>
    </cfRule>
    <cfRule type="expression" priority="226" dxfId="3">
      <formula>SEARCH("Highest",$G5)&gt;0</formula>
    </cfRule>
  </conditionalFormatting>
  <conditionalFormatting sqref="H5:H496">
    <cfRule type="expression" priority="227" dxfId="2">
      <formula>SEARCH("Partial",$H5)&gt;0</formula>
    </cfRule>
    <cfRule type="expression" priority="228" dxfId="1">
      <formula>SEARCH("Open",$H5)&gt;0</formula>
    </cfRule>
    <cfRule type="expression" priority="260" dxfId="0">
      <formula>SEARCH("Closed",$H5)&gt;0</formula>
    </cfRule>
  </conditionalFormatting>
  <dataValidations disablePrompts="1" count="3">
    <dataValidation sqref="H5:H104" showDropDown="0" showInputMessage="1" showErrorMessage="1" allowBlank="1" type="list">
      <formula1>"Open, Partial, Closed, N/A"</formula1>
    </dataValidation>
    <dataValidation sqref="H5:H104" showDropDown="0" showInputMessage="1" showErrorMessage="1" allowBlank="1" type="list">
      <formula1>"High, Medium, Low"</formula1>
    </dataValidation>
    <dataValidation sqref="G5:G128" showDropDown="0" showInputMessage="1" showErrorMessage="1" allowBlank="1" type="list">
      <formula1>"Highest, High, Medium, Low"</formula1>
    </dataValidation>
  </dataValidations>
  <printOptions horizontalCentered="1"/>
  <pageMargins left="0.25" right="0.25" top="0.25" bottom="0.5" header="0" footer="0.25"/>
  <pageSetup orientation="landscape" scale="47" fitToHeight="0"/>
  <headerFooter alignWithMargins="0">
    <oddHeader/>
    <oddFooter>&amp;L&amp;"Calibri,Regular"&amp;10 &amp;K000000#Confidential&amp;C&amp;G&amp;R&amp;8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K112"/>
  <sheetViews>
    <sheetView showGridLines="0" zoomScale="85" zoomScaleNormal="85" zoomScaleSheetLayoutView="85" zoomScalePageLayoutView="150" workbookViewId="0">
      <pane xSplit="8" ySplit="4" topLeftCell="I5" activePane="bottomRight" state="frozen"/>
      <selection activeCell="C5" sqref="C5"/>
      <selection pane="topRight" activeCell="C5" sqref="C5"/>
      <selection pane="bottomLeft" activeCell="C5" sqref="C5"/>
      <selection pane="bottomRight" activeCell="C5" sqref="C5"/>
    </sheetView>
  </sheetViews>
  <sheetFormatPr baseColWidth="8" defaultColWidth="8.53515625" defaultRowHeight="12.45"/>
  <cols>
    <col width="1.53515625" customWidth="1" style="1" min="1" max="1"/>
    <col width="5.53515625" customWidth="1" style="1" min="2" max="2"/>
    <col width="13.4609375" bestFit="1" customWidth="1" style="1" min="3" max="3"/>
    <col width="15.53515625" customWidth="1" style="50" min="4" max="4"/>
    <col width="65.69140625" customWidth="1" style="2" min="5" max="5"/>
    <col width="13.4609375" customWidth="1" style="3" min="6" max="6"/>
    <col width="10.53515625" customWidth="1" style="1" min="7" max="9"/>
    <col width="65.69140625" customWidth="1" style="3" min="10" max="11"/>
  </cols>
  <sheetData>
    <row r="1" ht="10.4" customHeight="1">
      <c r="A1" s="6" t="n"/>
      <c r="B1" s="8" t="n"/>
      <c r="C1" s="8" t="n"/>
      <c r="D1" s="47" t="n"/>
      <c r="E1" s="6" t="n"/>
      <c r="F1" s="6" t="n"/>
      <c r="G1" s="7" t="n"/>
      <c r="H1" s="7" t="n"/>
      <c r="I1" s="7" t="n"/>
      <c r="J1" s="7" t="n"/>
      <c r="K1" s="7" t="n"/>
    </row>
    <row r="2" ht="20.15" customHeight="1">
      <c r="A2" s="6" t="n"/>
      <c r="B2" s="32">
        <f>Project&amp;"  |  "&amp;REPLACE(CELL("filename",D1),1,FIND("]",CELL("filename",D1)),"")&amp;" Diligence Tracker"</f>
        <v/>
      </c>
      <c r="C2" s="33" t="n"/>
      <c r="D2" s="48" t="n"/>
      <c r="E2" s="31" t="n"/>
      <c r="F2" s="34" t="n"/>
      <c r="G2" s="31" t="n"/>
      <c r="H2" s="31" t="n"/>
      <c r="I2" s="31" t="n"/>
      <c r="J2" s="31" t="n"/>
      <c r="K2" s="35" t="n"/>
    </row>
    <row r="4" ht="24.9" customHeight="1">
      <c r="A4" s="23" t="n"/>
      <c r="B4" s="25" t="inlineStr">
        <is>
          <t xml:space="preserve">  #</t>
        </is>
      </c>
      <c r="C4" s="24" t="inlineStr">
        <is>
          <t>Date 
Requested</t>
        </is>
      </c>
      <c r="D4" s="24" t="inlineStr">
        <is>
          <t>Category</t>
        </is>
      </c>
      <c r="E4" s="25" t="inlineStr">
        <is>
          <t>Request / Question</t>
        </is>
      </c>
      <c r="F4" s="24" t="inlineStr">
        <is>
          <t>VDR 
Reference</t>
        </is>
      </c>
      <c r="G4" s="25" t="inlineStr">
        <is>
          <t>Priority</t>
        </is>
      </c>
      <c r="H4" s="25" t="inlineStr">
        <is>
          <t>Status</t>
        </is>
      </c>
      <c r="I4" s="24" t="inlineStr">
        <is>
          <t>Last Update</t>
        </is>
      </c>
      <c r="J4" s="24" t="inlineStr">
        <is>
          <t>Seller's Response</t>
        </is>
      </c>
      <c r="K4" s="24" t="inlineStr">
        <is>
          <t>Buyer's Follow-Up Comments</t>
        </is>
      </c>
    </row>
    <row r="5">
      <c r="B5" s="9" t="n">
        <v>1</v>
      </c>
      <c r="C5" s="10" t="n"/>
      <c r="D5" s="49" t="n"/>
      <c r="E5" s="21" t="n"/>
      <c r="F5" s="22" t="n"/>
      <c r="G5" s="9" t="n"/>
      <c r="H5" s="9" t="n"/>
      <c r="I5" s="10" t="n"/>
      <c r="J5" s="11" t="n"/>
      <c r="K5" s="11" t="n"/>
    </row>
    <row r="6">
      <c r="B6" s="9">
        <f>MAX(B$5:B5)+1</f>
        <v/>
      </c>
      <c r="C6" s="10" t="n"/>
      <c r="D6" s="49" t="n"/>
      <c r="E6" s="21" t="n"/>
      <c r="F6" s="22" t="n"/>
      <c r="G6" s="9" t="n"/>
      <c r="H6" s="9" t="n"/>
      <c r="I6" s="10" t="n"/>
      <c r="J6" s="11" t="n"/>
      <c r="K6" s="11" t="n"/>
    </row>
    <row r="7">
      <c r="B7" s="9">
        <f>MAX(B$5:B6)+1</f>
        <v/>
      </c>
      <c r="C7" s="10" t="n"/>
      <c r="D7" s="49" t="n"/>
      <c r="E7" s="21" t="n"/>
      <c r="F7" s="22" t="n"/>
      <c r="G7" s="9" t="n"/>
      <c r="H7" s="9" t="n"/>
      <c r="I7" s="10" t="n"/>
      <c r="J7" s="11" t="n"/>
      <c r="K7" s="11" t="n"/>
    </row>
    <row r="8">
      <c r="B8" s="9">
        <f>MAX(B$5:B7)+1</f>
        <v/>
      </c>
      <c r="C8" s="10" t="n"/>
      <c r="D8" s="49" t="n"/>
      <c r="E8" s="21" t="n"/>
      <c r="F8" s="22" t="n"/>
      <c r="G8" s="9" t="n"/>
      <c r="H8" s="9" t="n"/>
      <c r="I8" s="10" t="n"/>
      <c r="J8" s="11" t="n"/>
      <c r="K8" s="11" t="n"/>
    </row>
    <row r="9">
      <c r="B9" s="9">
        <f>MAX(B$5:B8)+1</f>
        <v/>
      </c>
      <c r="C9" s="10" t="n"/>
      <c r="D9" s="49" t="n"/>
      <c r="E9" s="21" t="n"/>
      <c r="F9" s="22" t="n"/>
      <c r="G9" s="9" t="n"/>
      <c r="H9" s="9" t="n"/>
      <c r="I9" s="10" t="n"/>
      <c r="J9" s="11" t="n"/>
      <c r="K9" s="11" t="n"/>
    </row>
    <row r="10">
      <c r="B10" s="9">
        <f>MAX(B$5:B9)+1</f>
        <v/>
      </c>
      <c r="C10" s="10" t="n"/>
      <c r="D10" s="49" t="n"/>
      <c r="E10" s="21" t="n"/>
      <c r="F10" s="22" t="n"/>
      <c r="G10" s="9" t="n"/>
      <c r="H10" s="9" t="n"/>
      <c r="I10" s="10" t="n"/>
      <c r="J10" s="11" t="n"/>
      <c r="K10" s="11" t="n"/>
    </row>
    <row r="11">
      <c r="B11" s="9">
        <f>MAX(B$5:B10)+1</f>
        <v/>
      </c>
      <c r="C11" s="10" t="n"/>
      <c r="D11" s="49" t="n"/>
      <c r="E11" s="21" t="n"/>
      <c r="F11" s="22" t="n"/>
      <c r="G11" s="9" t="n"/>
      <c r="H11" s="9" t="n"/>
      <c r="I11" s="10" t="n"/>
      <c r="J11" s="11" t="n"/>
      <c r="K11" s="11" t="n"/>
    </row>
    <row r="12">
      <c r="B12" s="9">
        <f>MAX(B$5:B11)+1</f>
        <v/>
      </c>
      <c r="C12" s="10" t="n"/>
      <c r="D12" s="49" t="n"/>
      <c r="E12" s="21" t="n"/>
      <c r="F12" s="22" t="n"/>
      <c r="G12" s="9" t="n"/>
      <c r="H12" s="9" t="n"/>
      <c r="I12" s="10" t="n"/>
      <c r="J12" s="11" t="n"/>
      <c r="K12" s="11" t="n"/>
    </row>
    <row r="13">
      <c r="B13" s="9">
        <f>MAX(B$5:B12)+1</f>
        <v/>
      </c>
      <c r="C13" s="10" t="n"/>
      <c r="D13" s="49" t="n"/>
      <c r="E13" s="21" t="n"/>
      <c r="F13" s="22" t="n"/>
      <c r="G13" s="9" t="n"/>
      <c r="H13" s="9" t="n"/>
      <c r="I13" s="10" t="n"/>
      <c r="J13" s="11" t="n"/>
      <c r="K13" s="11" t="n"/>
    </row>
    <row r="14">
      <c r="B14" s="9">
        <f>MAX(B$5:B13)+1</f>
        <v/>
      </c>
      <c r="C14" s="10" t="n"/>
      <c r="D14" s="49" t="n"/>
      <c r="E14" s="21" t="n"/>
      <c r="F14" s="22" t="n"/>
      <c r="G14" s="9" t="n"/>
      <c r="H14" s="9" t="n"/>
      <c r="I14" s="10" t="n"/>
      <c r="J14" s="11" t="n"/>
      <c r="K14" s="11" t="n"/>
    </row>
    <row r="15">
      <c r="B15" s="9">
        <f>MAX(B$5:B14)+1</f>
        <v/>
      </c>
      <c r="C15" s="10" t="n"/>
      <c r="D15" s="49" t="n"/>
      <c r="E15" s="21" t="n"/>
      <c r="F15" s="22" t="n"/>
      <c r="G15" s="9" t="n"/>
      <c r="H15" s="9" t="n"/>
      <c r="I15" s="10" t="n"/>
      <c r="J15" s="11" t="n"/>
      <c r="K15" s="11" t="n"/>
    </row>
    <row r="16">
      <c r="B16" s="9">
        <f>MAX(B$5:B15)+1</f>
        <v/>
      </c>
      <c r="C16" s="10" t="n"/>
      <c r="D16" s="49" t="n"/>
      <c r="E16" s="21" t="n"/>
      <c r="F16" s="22" t="n"/>
      <c r="G16" s="9" t="n"/>
      <c r="H16" s="9" t="n"/>
      <c r="I16" s="10" t="n"/>
      <c r="J16" s="11" t="n"/>
      <c r="K16" s="11" t="n"/>
    </row>
    <row r="17">
      <c r="B17" s="9">
        <f>MAX(B$5:B16)+1</f>
        <v/>
      </c>
      <c r="C17" s="10" t="n"/>
      <c r="D17" s="49" t="n"/>
      <c r="E17" s="21" t="n"/>
      <c r="F17" s="22" t="n"/>
      <c r="G17" s="9" t="n"/>
      <c r="H17" s="9" t="n"/>
      <c r="I17" s="10" t="n"/>
      <c r="J17" s="11" t="n"/>
      <c r="K17" s="11" t="n"/>
    </row>
    <row r="18">
      <c r="B18" s="9">
        <f>MAX(B$5:B17)+1</f>
        <v/>
      </c>
      <c r="C18" s="10" t="n"/>
      <c r="D18" s="49" t="n"/>
      <c r="E18" s="21" t="n"/>
      <c r="F18" s="22" t="n"/>
      <c r="G18" s="9" t="n"/>
      <c r="H18" s="9" t="n"/>
      <c r="I18" s="10" t="n"/>
      <c r="J18" s="11" t="n"/>
      <c r="K18" s="11" t="n"/>
    </row>
    <row r="19">
      <c r="B19" s="9">
        <f>MAX(B$5:B18)+1</f>
        <v/>
      </c>
      <c r="C19" s="10" t="n"/>
      <c r="D19" s="49" t="n"/>
      <c r="E19" s="21" t="n"/>
      <c r="F19" s="22" t="n"/>
      <c r="G19" s="9" t="n"/>
      <c r="H19" s="9" t="n"/>
      <c r="I19" s="10" t="n"/>
      <c r="J19" s="11" t="n"/>
      <c r="K19" s="11" t="n"/>
    </row>
    <row r="20">
      <c r="B20" s="9">
        <f>MAX(B$5:B19)+1</f>
        <v/>
      </c>
      <c r="C20" s="10" t="n"/>
      <c r="D20" s="49" t="n"/>
      <c r="E20" s="21" t="n"/>
      <c r="F20" s="22" t="n"/>
      <c r="G20" s="9" t="n"/>
      <c r="H20" s="9" t="n"/>
      <c r="I20" s="10" t="n"/>
      <c r="J20" s="11" t="n"/>
      <c r="K20" s="11" t="n"/>
    </row>
    <row r="21">
      <c r="B21" s="9">
        <f>MAX(B$5:B20)+1</f>
        <v/>
      </c>
      <c r="C21" s="10" t="n"/>
      <c r="D21" s="49" t="n"/>
      <c r="E21" s="21" t="n"/>
      <c r="F21" s="22" t="n"/>
      <c r="G21" s="9" t="n"/>
      <c r="H21" s="9" t="n"/>
      <c r="I21" s="10" t="n"/>
      <c r="J21" s="11" t="n"/>
      <c r="K21" s="11" t="n"/>
    </row>
    <row r="22">
      <c r="B22" s="9">
        <f>MAX(B$5:B21)+1</f>
        <v/>
      </c>
      <c r="C22" s="10" t="n"/>
      <c r="D22" s="49" t="n"/>
      <c r="E22" s="21" t="n"/>
      <c r="F22" s="22" t="n"/>
      <c r="G22" s="9" t="n"/>
      <c r="H22" s="9" t="n"/>
      <c r="I22" s="10" t="n"/>
      <c r="J22" s="11" t="n"/>
      <c r="K22" s="11" t="n"/>
    </row>
    <row r="23">
      <c r="B23" s="9">
        <f>MAX(B$5:B22)+1</f>
        <v/>
      </c>
      <c r="C23" s="10" t="n"/>
      <c r="D23" s="49" t="n"/>
      <c r="E23" s="21" t="n"/>
      <c r="F23" s="22" t="n"/>
      <c r="G23" s="9" t="n"/>
      <c r="H23" s="9" t="n"/>
      <c r="I23" s="10" t="n"/>
      <c r="J23" s="11" t="n"/>
      <c r="K23" s="11" t="n"/>
    </row>
    <row r="24">
      <c r="B24" s="9">
        <f>MAX(B$5:B23)+1</f>
        <v/>
      </c>
      <c r="C24" s="10" t="n"/>
      <c r="D24" s="49" t="n"/>
      <c r="E24" s="21" t="n"/>
      <c r="F24" s="22" t="n"/>
      <c r="G24" s="9" t="n"/>
      <c r="H24" s="9" t="n"/>
      <c r="I24" s="10" t="n"/>
      <c r="J24" s="11" t="n"/>
      <c r="K24" s="11" t="n"/>
    </row>
    <row r="25">
      <c r="B25" s="9">
        <f>MAX(B$5:B24)+1</f>
        <v/>
      </c>
      <c r="C25" s="10" t="n"/>
      <c r="D25" s="49" t="n"/>
      <c r="E25" s="21" t="n"/>
      <c r="F25" s="22" t="n"/>
      <c r="G25" s="9" t="n"/>
      <c r="H25" s="9" t="n"/>
      <c r="I25" s="10" t="n"/>
      <c r="J25" s="11" t="n"/>
      <c r="K25" s="11" t="n"/>
    </row>
    <row r="26">
      <c r="B26" s="9">
        <f>MAX(B$5:B25)+1</f>
        <v/>
      </c>
      <c r="C26" s="10" t="n"/>
      <c r="D26" s="49" t="n"/>
      <c r="E26" s="21" t="n"/>
      <c r="F26" s="22" t="n"/>
      <c r="G26" s="9" t="n"/>
      <c r="H26" s="9" t="n"/>
      <c r="I26" s="10" t="n"/>
      <c r="J26" s="11" t="n"/>
      <c r="K26" s="11" t="n"/>
    </row>
    <row r="27">
      <c r="B27" s="9">
        <f>MAX(B$5:B26)+1</f>
        <v/>
      </c>
      <c r="C27" s="10" t="n"/>
      <c r="D27" s="49" t="n"/>
      <c r="E27" s="21" t="n"/>
      <c r="F27" s="22" t="n"/>
      <c r="G27" s="9" t="n"/>
      <c r="H27" s="9" t="n"/>
      <c r="I27" s="10" t="n"/>
      <c r="J27" s="11" t="n"/>
      <c r="K27" s="11" t="n"/>
    </row>
    <row r="28">
      <c r="B28" s="9">
        <f>MAX(B$5:B27)+1</f>
        <v/>
      </c>
      <c r="C28" s="10" t="n"/>
      <c r="D28" s="49" t="n"/>
      <c r="E28" s="21" t="n"/>
      <c r="F28" s="22" t="n"/>
      <c r="G28" s="9" t="n"/>
      <c r="H28" s="9" t="n"/>
      <c r="I28" s="10" t="n"/>
      <c r="J28" s="11" t="n"/>
      <c r="K28" s="11" t="n"/>
    </row>
    <row r="29">
      <c r="B29" s="9">
        <f>MAX(B$5:B28)+1</f>
        <v/>
      </c>
      <c r="C29" s="10" t="n"/>
      <c r="D29" s="49" t="n"/>
      <c r="E29" s="21" t="n"/>
      <c r="F29" s="22" t="n"/>
      <c r="G29" s="9" t="n"/>
      <c r="H29" s="9" t="n"/>
      <c r="I29" s="10" t="n"/>
      <c r="J29" s="11" t="n"/>
      <c r="K29" s="11" t="n"/>
    </row>
    <row r="30">
      <c r="B30" s="9">
        <f>MAX(B$5:B29)+1</f>
        <v/>
      </c>
      <c r="C30" s="10" t="n"/>
      <c r="D30" s="49" t="n"/>
      <c r="E30" s="21" t="n"/>
      <c r="F30" s="22" t="n"/>
      <c r="G30" s="9" t="n"/>
      <c r="H30" s="9" t="n"/>
      <c r="I30" s="10" t="n"/>
      <c r="J30" s="11" t="n"/>
      <c r="K30" s="11" t="n"/>
    </row>
    <row r="31">
      <c r="B31" s="9">
        <f>MAX(B$5:B30)+1</f>
        <v/>
      </c>
      <c r="C31" s="10" t="n"/>
      <c r="D31" s="49" t="n"/>
      <c r="E31" s="21" t="n"/>
      <c r="F31" s="22" t="n"/>
      <c r="G31" s="9" t="n"/>
      <c r="H31" s="9" t="n"/>
      <c r="I31" s="10" t="n"/>
      <c r="J31" s="11" t="n"/>
      <c r="K31" s="11" t="n"/>
    </row>
    <row r="32">
      <c r="B32" s="9">
        <f>MAX(B$5:B31)+1</f>
        <v/>
      </c>
      <c r="C32" s="10" t="n"/>
      <c r="D32" s="49" t="n"/>
      <c r="E32" s="21" t="n"/>
      <c r="F32" s="22" t="n"/>
      <c r="G32" s="9" t="n"/>
      <c r="H32" s="9" t="n"/>
      <c r="I32" s="10" t="n"/>
      <c r="J32" s="11" t="n"/>
      <c r="K32" s="11" t="n"/>
    </row>
    <row r="33">
      <c r="B33" s="9">
        <f>MAX(B$5:B32)+1</f>
        <v/>
      </c>
      <c r="C33" s="10" t="n"/>
      <c r="D33" s="49" t="n"/>
      <c r="E33" s="21" t="n"/>
      <c r="F33" s="22" t="n"/>
      <c r="G33" s="9" t="n"/>
      <c r="H33" s="9" t="n"/>
      <c r="I33" s="10" t="n"/>
      <c r="J33" s="11" t="n"/>
      <c r="K33" s="11" t="n"/>
    </row>
    <row r="34">
      <c r="B34" s="9">
        <f>MAX(B$5:B33)+1</f>
        <v/>
      </c>
      <c r="C34" s="10" t="n"/>
      <c r="D34" s="49" t="n"/>
      <c r="E34" s="21" t="n"/>
      <c r="F34" s="22" t="n"/>
      <c r="G34" s="9" t="n"/>
      <c r="H34" s="9" t="n"/>
      <c r="I34" s="10" t="n"/>
      <c r="J34" s="11" t="n"/>
      <c r="K34" s="11" t="n"/>
    </row>
    <row r="35">
      <c r="B35" s="9">
        <f>MAX(B$5:B34)+1</f>
        <v/>
      </c>
      <c r="C35" s="10" t="n"/>
      <c r="D35" s="49" t="n"/>
      <c r="E35" s="21" t="n"/>
      <c r="F35" s="22" t="n"/>
      <c r="G35" s="9" t="n"/>
      <c r="H35" s="9" t="n"/>
      <c r="I35" s="10" t="n"/>
      <c r="J35" s="11" t="n"/>
      <c r="K35" s="11" t="n"/>
    </row>
    <row r="36">
      <c r="B36" s="9">
        <f>MAX(B$5:B35)+1</f>
        <v/>
      </c>
      <c r="C36" s="10" t="n"/>
      <c r="D36" s="49" t="n"/>
      <c r="E36" s="21" t="n"/>
      <c r="F36" s="22" t="n"/>
      <c r="G36" s="9" t="n"/>
      <c r="H36" s="9" t="n"/>
      <c r="I36" s="10" t="n"/>
      <c r="J36" s="11" t="n"/>
      <c r="K36" s="11" t="n"/>
    </row>
    <row r="37">
      <c r="B37" s="9">
        <f>MAX(B$5:B36)+1</f>
        <v/>
      </c>
      <c r="C37" s="10" t="n"/>
      <c r="D37" s="49" t="n"/>
      <c r="E37" s="21" t="n"/>
      <c r="F37" s="22" t="n"/>
      <c r="G37" s="9" t="n"/>
      <c r="H37" s="9" t="n"/>
      <c r="I37" s="10" t="n"/>
      <c r="J37" s="11" t="n"/>
      <c r="K37" s="11" t="n"/>
    </row>
    <row r="38">
      <c r="B38" s="9">
        <f>MAX(B$5:B37)+1</f>
        <v/>
      </c>
      <c r="C38" s="10" t="n"/>
      <c r="D38" s="49" t="n"/>
      <c r="E38" s="21" t="n"/>
      <c r="F38" s="22" t="n"/>
      <c r="G38" s="9" t="n"/>
      <c r="H38" s="9" t="n"/>
      <c r="I38" s="10" t="n"/>
      <c r="J38" s="11" t="n"/>
      <c r="K38" s="11" t="n"/>
    </row>
    <row r="39">
      <c r="B39" s="9">
        <f>MAX(B$5:B38)+1</f>
        <v/>
      </c>
      <c r="C39" s="10" t="n"/>
      <c r="D39" s="49" t="n"/>
      <c r="E39" s="21" t="n"/>
      <c r="F39" s="22" t="n"/>
      <c r="G39" s="9" t="n"/>
      <c r="H39" s="9" t="n"/>
      <c r="I39" s="10" t="n"/>
      <c r="J39" s="11" t="n"/>
      <c r="K39" s="11" t="n"/>
    </row>
    <row r="40">
      <c r="B40" s="9">
        <f>MAX(B$5:B39)+1</f>
        <v/>
      </c>
      <c r="C40" s="10" t="n"/>
      <c r="D40" s="49" t="n"/>
      <c r="E40" s="21" t="n"/>
      <c r="F40" s="22" t="n"/>
      <c r="G40" s="9" t="n"/>
      <c r="H40" s="9" t="n"/>
      <c r="I40" s="10" t="n"/>
      <c r="J40" s="11" t="n"/>
      <c r="K40" s="11" t="n"/>
    </row>
    <row r="41">
      <c r="B41" s="9">
        <f>MAX(B$5:B40)+1</f>
        <v/>
      </c>
      <c r="C41" s="10" t="n"/>
      <c r="D41" s="49" t="n"/>
      <c r="E41" s="21" t="n"/>
      <c r="F41" s="22" t="n"/>
      <c r="G41" s="9" t="n"/>
      <c r="H41" s="9" t="n"/>
      <c r="I41" s="10" t="n"/>
      <c r="J41" s="11" t="n"/>
      <c r="K41" s="11" t="n"/>
    </row>
    <row r="42">
      <c r="B42" s="9">
        <f>MAX(B$5:B41)+1</f>
        <v/>
      </c>
      <c r="C42" s="10" t="n"/>
      <c r="D42" s="49" t="n"/>
      <c r="E42" s="21" t="n"/>
      <c r="F42" s="22" t="n"/>
      <c r="G42" s="9" t="n"/>
      <c r="H42" s="9" t="n"/>
      <c r="I42" s="10" t="n"/>
      <c r="J42" s="11" t="n"/>
      <c r="K42" s="11" t="n"/>
    </row>
    <row r="43">
      <c r="B43" s="9">
        <f>MAX(B$5:B42)+1</f>
        <v/>
      </c>
      <c r="C43" s="10" t="n"/>
      <c r="D43" s="49" t="n"/>
      <c r="E43" s="21" t="n"/>
      <c r="F43" s="22" t="n"/>
      <c r="G43" s="9" t="n"/>
      <c r="H43" s="9" t="n"/>
      <c r="I43" s="10" t="n"/>
      <c r="J43" s="11" t="n"/>
      <c r="K43" s="11" t="n"/>
    </row>
    <row r="44">
      <c r="B44" s="9">
        <f>MAX(B$5:B43)+1</f>
        <v/>
      </c>
      <c r="C44" s="10" t="n"/>
      <c r="D44" s="49" t="n"/>
      <c r="E44" s="21" t="n"/>
      <c r="F44" s="22" t="n"/>
      <c r="G44" s="9" t="n"/>
      <c r="H44" s="9" t="n"/>
      <c r="I44" s="10" t="n"/>
      <c r="J44" s="11" t="n"/>
      <c r="K44" s="11" t="n"/>
    </row>
    <row r="45">
      <c r="B45" s="9">
        <f>MAX(B$5:B44)+1</f>
        <v/>
      </c>
      <c r="C45" s="10" t="n"/>
      <c r="D45" s="49" t="n"/>
      <c r="E45" s="21" t="n"/>
      <c r="F45" s="22" t="n"/>
      <c r="G45" s="9" t="n"/>
      <c r="H45" s="9" t="n"/>
      <c r="I45" s="10" t="n"/>
      <c r="J45" s="11" t="n"/>
      <c r="K45" s="11" t="n"/>
    </row>
    <row r="46">
      <c r="B46" s="9">
        <f>MAX(B$5:B45)+1</f>
        <v/>
      </c>
      <c r="C46" s="10" t="n"/>
      <c r="D46" s="49" t="n"/>
      <c r="E46" s="21" t="n"/>
      <c r="F46" s="22" t="n"/>
      <c r="G46" s="9" t="n"/>
      <c r="H46" s="9" t="n"/>
      <c r="I46" s="10" t="n"/>
      <c r="J46" s="11" t="n"/>
      <c r="K46" s="11" t="n"/>
    </row>
    <row r="47">
      <c r="B47" s="9">
        <f>MAX(B$5:B46)+1</f>
        <v/>
      </c>
      <c r="C47" s="10" t="n"/>
      <c r="D47" s="49" t="n"/>
      <c r="E47" s="21" t="n"/>
      <c r="F47" s="22" t="n"/>
      <c r="G47" s="9" t="n"/>
      <c r="H47" s="9" t="n"/>
      <c r="I47" s="10" t="n"/>
      <c r="J47" s="11" t="n"/>
      <c r="K47" s="11" t="n"/>
    </row>
    <row r="48">
      <c r="B48" s="9">
        <f>MAX(B$5:B47)+1</f>
        <v/>
      </c>
      <c r="C48" s="10" t="n"/>
      <c r="D48" s="49" t="n"/>
      <c r="E48" s="21" t="n"/>
      <c r="F48" s="22" t="n"/>
      <c r="G48" s="9" t="n"/>
      <c r="H48" s="9" t="n"/>
      <c r="I48" s="10" t="n"/>
      <c r="J48" s="11" t="n"/>
      <c r="K48" s="11" t="n"/>
    </row>
    <row r="49">
      <c r="B49" s="9">
        <f>MAX(B$5:B48)+1</f>
        <v/>
      </c>
      <c r="C49" s="10" t="n"/>
      <c r="D49" s="49" t="n"/>
      <c r="E49" s="21" t="n"/>
      <c r="F49" s="22" t="n"/>
      <c r="G49" s="9" t="n"/>
      <c r="H49" s="9" t="n"/>
      <c r="I49" s="10" t="n"/>
      <c r="J49" s="11" t="n"/>
      <c r="K49" s="11" t="n"/>
    </row>
    <row r="50">
      <c r="B50" s="9">
        <f>MAX(B$5:B49)+1</f>
        <v/>
      </c>
      <c r="C50" s="10" t="n"/>
      <c r="D50" s="49" t="n"/>
      <c r="E50" s="21" t="n"/>
      <c r="F50" s="22" t="n"/>
      <c r="G50" s="9" t="n"/>
      <c r="H50" s="9" t="n"/>
      <c r="I50" s="10" t="n"/>
      <c r="J50" s="11" t="n"/>
      <c r="K50" s="11" t="n"/>
    </row>
    <row r="51">
      <c r="B51" s="9">
        <f>MAX(B$5:B50)+1</f>
        <v/>
      </c>
      <c r="C51" s="10" t="n"/>
      <c r="D51" s="49" t="n"/>
      <c r="E51" s="21" t="n"/>
      <c r="F51" s="22" t="n"/>
      <c r="G51" s="9" t="n"/>
      <c r="H51" s="9" t="n"/>
      <c r="I51" s="10" t="n"/>
      <c r="J51" s="11" t="n"/>
      <c r="K51" s="11" t="n"/>
    </row>
    <row r="52">
      <c r="B52" s="9">
        <f>MAX(B$5:B51)+1</f>
        <v/>
      </c>
      <c r="C52" s="10" t="n"/>
      <c r="D52" s="49" t="n"/>
      <c r="E52" s="21" t="n"/>
      <c r="F52" s="22" t="n"/>
      <c r="G52" s="9" t="n"/>
      <c r="H52" s="9" t="n"/>
      <c r="I52" s="10" t="n"/>
      <c r="J52" s="11" t="n"/>
      <c r="K52" s="11" t="n"/>
    </row>
    <row r="53">
      <c r="B53" s="9">
        <f>MAX(B$5:B52)+1</f>
        <v/>
      </c>
      <c r="C53" s="10" t="n"/>
      <c r="D53" s="49" t="n"/>
      <c r="E53" s="21" t="n"/>
      <c r="F53" s="22" t="n"/>
      <c r="G53" s="9" t="n"/>
      <c r="H53" s="9" t="n"/>
      <c r="I53" s="10" t="n"/>
      <c r="J53" s="11" t="n"/>
      <c r="K53" s="11" t="n"/>
    </row>
    <row r="54">
      <c r="B54" s="9">
        <f>MAX(B$5:B53)+1</f>
        <v/>
      </c>
      <c r="C54" s="10" t="n"/>
      <c r="D54" s="49" t="n"/>
      <c r="E54" s="21" t="n"/>
      <c r="F54" s="22" t="n"/>
      <c r="G54" s="9" t="n"/>
      <c r="H54" s="9" t="n"/>
      <c r="I54" s="10" t="n"/>
      <c r="J54" s="11" t="n"/>
      <c r="K54" s="11" t="n"/>
    </row>
    <row r="55">
      <c r="B55" s="9">
        <f>MAX(B$5:B54)+1</f>
        <v/>
      </c>
      <c r="C55" s="10" t="n"/>
      <c r="D55" s="49" t="n"/>
      <c r="E55" s="21" t="n"/>
      <c r="F55" s="22" t="n"/>
      <c r="G55" s="9" t="n"/>
      <c r="H55" s="9" t="n"/>
      <c r="I55" s="10" t="n"/>
      <c r="J55" s="11" t="n"/>
      <c r="K55" s="11" t="n"/>
    </row>
    <row r="56">
      <c r="B56" s="9">
        <f>MAX(B$5:B55)+1</f>
        <v/>
      </c>
      <c r="C56" s="10" t="n"/>
      <c r="D56" s="49" t="n"/>
      <c r="E56" s="21" t="n"/>
      <c r="F56" s="22" t="n"/>
      <c r="G56" s="9" t="n"/>
      <c r="H56" s="9" t="n"/>
      <c r="I56" s="10" t="n"/>
      <c r="J56" s="11" t="n"/>
      <c r="K56" s="11" t="n"/>
    </row>
    <row r="57">
      <c r="B57" s="9">
        <f>MAX(B$5:B56)+1</f>
        <v/>
      </c>
      <c r="C57" s="10" t="n"/>
      <c r="D57" s="49" t="n"/>
      <c r="E57" s="21" t="n"/>
      <c r="F57" s="22" t="n"/>
      <c r="G57" s="9" t="n"/>
      <c r="H57" s="9" t="n"/>
      <c r="I57" s="10" t="n"/>
      <c r="J57" s="11" t="n"/>
      <c r="K57" s="11" t="n"/>
    </row>
    <row r="58">
      <c r="B58" s="9">
        <f>MAX(B$5:B57)+1</f>
        <v/>
      </c>
      <c r="C58" s="10" t="n"/>
      <c r="D58" s="49" t="n"/>
      <c r="E58" s="21" t="n"/>
      <c r="F58" s="22" t="n"/>
      <c r="G58" s="9" t="n"/>
      <c r="H58" s="9" t="n"/>
      <c r="I58" s="10" t="n"/>
      <c r="J58" s="11" t="n"/>
      <c r="K58" s="11" t="n"/>
    </row>
    <row r="59">
      <c r="B59" s="9">
        <f>MAX(B$5:B58)+1</f>
        <v/>
      </c>
      <c r="C59" s="10" t="n"/>
      <c r="D59" s="49" t="n"/>
      <c r="E59" s="21" t="n"/>
      <c r="F59" s="22" t="n"/>
      <c r="G59" s="9" t="n"/>
      <c r="H59" s="9" t="n"/>
      <c r="I59" s="10" t="n"/>
      <c r="J59" s="11" t="n"/>
      <c r="K59" s="11" t="n"/>
    </row>
    <row r="60">
      <c r="B60" s="9">
        <f>MAX(B$5:B59)+1</f>
        <v/>
      </c>
      <c r="C60" s="10" t="n"/>
      <c r="D60" s="49" t="n"/>
      <c r="E60" s="21" t="n"/>
      <c r="F60" s="22" t="n"/>
      <c r="G60" s="9" t="n"/>
      <c r="H60" s="9" t="n"/>
      <c r="I60" s="10" t="n"/>
      <c r="J60" s="11" t="n"/>
      <c r="K60" s="11" t="n"/>
    </row>
    <row r="61">
      <c r="B61" s="9">
        <f>MAX(B$5:B60)+1</f>
        <v/>
      </c>
      <c r="C61" s="10" t="n"/>
      <c r="D61" s="49" t="n"/>
      <c r="E61" s="21" t="n"/>
      <c r="F61" s="22" t="n"/>
      <c r="G61" s="9" t="n"/>
      <c r="H61" s="9" t="n"/>
      <c r="I61" s="10" t="n"/>
      <c r="J61" s="11" t="n"/>
      <c r="K61" s="11" t="n"/>
    </row>
    <row r="62">
      <c r="B62" s="9">
        <f>MAX(B$5:B61)+1</f>
        <v/>
      </c>
      <c r="C62" s="10" t="n"/>
      <c r="D62" s="49" t="n"/>
      <c r="E62" s="21" t="n"/>
      <c r="F62" s="22" t="n"/>
      <c r="G62" s="9" t="n"/>
      <c r="H62" s="9" t="n"/>
      <c r="I62" s="10" t="n"/>
      <c r="J62" s="11" t="n"/>
      <c r="K62" s="11" t="n"/>
    </row>
    <row r="63">
      <c r="B63" s="9">
        <f>MAX(B$5:B62)+1</f>
        <v/>
      </c>
      <c r="C63" s="10" t="n"/>
      <c r="D63" s="49" t="n"/>
      <c r="E63" s="21" t="n"/>
      <c r="F63" s="22" t="n"/>
      <c r="G63" s="9" t="n"/>
      <c r="H63" s="9" t="n"/>
      <c r="I63" s="10" t="n"/>
      <c r="J63" s="11" t="n"/>
      <c r="K63" s="11" t="n"/>
    </row>
    <row r="64">
      <c r="B64" s="9">
        <f>MAX(B$5:B63)+1</f>
        <v/>
      </c>
      <c r="C64" s="10" t="n"/>
      <c r="D64" s="49" t="n"/>
      <c r="E64" s="21" t="n"/>
      <c r="F64" s="22" t="n"/>
      <c r="G64" s="9" t="n"/>
      <c r="H64" s="9" t="n"/>
      <c r="I64" s="10" t="n"/>
      <c r="J64" s="11" t="n"/>
      <c r="K64" s="11" t="n"/>
    </row>
    <row r="65">
      <c r="B65" s="9">
        <f>MAX(B$5:B64)+1</f>
        <v/>
      </c>
      <c r="C65" s="10" t="n"/>
      <c r="D65" s="49" t="n"/>
      <c r="E65" s="21" t="n"/>
      <c r="F65" s="22" t="n"/>
      <c r="G65" s="9" t="n"/>
      <c r="H65" s="9" t="n"/>
      <c r="I65" s="10" t="n"/>
      <c r="J65" s="11" t="n"/>
      <c r="K65" s="11" t="n"/>
    </row>
    <row r="66">
      <c r="B66" s="9">
        <f>MAX(B$5:B65)+1</f>
        <v/>
      </c>
      <c r="C66" s="10" t="n"/>
      <c r="D66" s="49" t="n"/>
      <c r="E66" s="21" t="n"/>
      <c r="F66" s="22" t="n"/>
      <c r="G66" s="9" t="n"/>
      <c r="H66" s="9" t="n"/>
      <c r="I66" s="10" t="n"/>
      <c r="J66" s="11" t="n"/>
      <c r="K66" s="11" t="n"/>
    </row>
    <row r="67">
      <c r="B67" s="9">
        <f>MAX(B$5:B66)+1</f>
        <v/>
      </c>
      <c r="C67" s="10" t="n"/>
      <c r="D67" s="49" t="n"/>
      <c r="E67" s="21" t="n"/>
      <c r="F67" s="22" t="n"/>
      <c r="G67" s="9" t="n"/>
      <c r="H67" s="9" t="n"/>
      <c r="I67" s="10" t="n"/>
      <c r="J67" s="11" t="n"/>
      <c r="K67" s="11" t="n"/>
    </row>
    <row r="68">
      <c r="B68" s="9">
        <f>MAX(B$5:B67)+1</f>
        <v/>
      </c>
      <c r="C68" s="10" t="n"/>
      <c r="D68" s="49" t="n"/>
      <c r="E68" s="21" t="n"/>
      <c r="F68" s="22" t="n"/>
      <c r="G68" s="9" t="n"/>
      <c r="H68" s="9" t="n"/>
      <c r="I68" s="10" t="n"/>
      <c r="J68" s="11" t="n"/>
      <c r="K68" s="11" t="n"/>
    </row>
    <row r="69">
      <c r="B69" s="9">
        <f>MAX(B$5:B68)+1</f>
        <v/>
      </c>
      <c r="C69" s="10" t="n"/>
      <c r="D69" s="49" t="n"/>
      <c r="E69" s="21" t="n"/>
      <c r="F69" s="22" t="n"/>
      <c r="G69" s="9" t="n"/>
      <c r="H69" s="9" t="n"/>
      <c r="I69" s="10" t="n"/>
      <c r="J69" s="11" t="n"/>
      <c r="K69" s="11" t="n"/>
    </row>
    <row r="70">
      <c r="B70" s="9">
        <f>MAX(B$5:B69)+1</f>
        <v/>
      </c>
      <c r="C70" s="10" t="n"/>
      <c r="D70" s="49" t="n"/>
      <c r="E70" s="21" t="n"/>
      <c r="F70" s="22" t="n"/>
      <c r="G70" s="9" t="n"/>
      <c r="H70" s="9" t="n"/>
      <c r="I70" s="10" t="n"/>
      <c r="J70" s="11" t="n"/>
      <c r="K70" s="11" t="n"/>
    </row>
    <row r="71">
      <c r="B71" s="9">
        <f>MAX(B$5:B70)+1</f>
        <v/>
      </c>
      <c r="C71" s="10" t="n"/>
      <c r="D71" s="49" t="n"/>
      <c r="E71" s="21" t="n"/>
      <c r="F71" s="22" t="n"/>
      <c r="G71" s="9" t="n"/>
      <c r="H71" s="9" t="n"/>
      <c r="I71" s="10" t="n"/>
      <c r="J71" s="11" t="n"/>
      <c r="K71" s="11" t="n"/>
    </row>
    <row r="72">
      <c r="B72" s="9">
        <f>MAX(B$5:B71)+1</f>
        <v/>
      </c>
      <c r="C72" s="10" t="n"/>
      <c r="D72" s="49" t="n"/>
      <c r="E72" s="21" t="n"/>
      <c r="F72" s="22" t="n"/>
      <c r="G72" s="9" t="n"/>
      <c r="H72" s="9" t="n"/>
      <c r="I72" s="10" t="n"/>
      <c r="J72" s="11" t="n"/>
      <c r="K72" s="11" t="n"/>
    </row>
    <row r="73">
      <c r="B73" s="9">
        <f>MAX(B$5:B72)+1</f>
        <v/>
      </c>
      <c r="C73" s="10" t="n"/>
      <c r="D73" s="49" t="n"/>
      <c r="E73" s="21" t="n"/>
      <c r="F73" s="22" t="n"/>
      <c r="G73" s="9" t="n"/>
      <c r="H73" s="9" t="n"/>
      <c r="I73" s="10" t="n"/>
      <c r="J73" s="11" t="n"/>
      <c r="K73" s="11" t="n"/>
    </row>
    <row r="74">
      <c r="B74" s="9">
        <f>MAX(B$5:B73)+1</f>
        <v/>
      </c>
      <c r="C74" s="10" t="n"/>
      <c r="D74" s="49" t="n"/>
      <c r="E74" s="21" t="n"/>
      <c r="F74" s="22" t="n"/>
      <c r="G74" s="9" t="n"/>
      <c r="H74" s="9" t="n"/>
      <c r="I74" s="10" t="n"/>
      <c r="J74" s="11" t="n"/>
      <c r="K74" s="11" t="n"/>
    </row>
    <row r="75">
      <c r="B75" s="9">
        <f>MAX(B$5:B74)+1</f>
        <v/>
      </c>
      <c r="C75" s="10" t="n"/>
      <c r="D75" s="49" t="n"/>
      <c r="E75" s="21" t="n"/>
      <c r="F75" s="22" t="n"/>
      <c r="G75" s="9" t="n"/>
      <c r="H75" s="9" t="n"/>
      <c r="I75" s="10" t="n"/>
      <c r="J75" s="11" t="n"/>
      <c r="K75" s="11" t="n"/>
    </row>
    <row r="76">
      <c r="B76" s="9">
        <f>MAX(B$5:B75)+1</f>
        <v/>
      </c>
      <c r="C76" s="10" t="n"/>
      <c r="D76" s="49" t="n"/>
      <c r="E76" s="21" t="n"/>
      <c r="F76" s="22" t="n"/>
      <c r="G76" s="9" t="n"/>
      <c r="H76" s="9" t="n"/>
      <c r="I76" s="10" t="n"/>
      <c r="J76" s="11" t="n"/>
      <c r="K76" s="11" t="n"/>
    </row>
    <row r="77">
      <c r="B77" s="9">
        <f>MAX(B$5:B76)+1</f>
        <v/>
      </c>
      <c r="C77" s="10" t="n"/>
      <c r="D77" s="49" t="n"/>
      <c r="E77" s="21" t="n"/>
      <c r="F77" s="22" t="n"/>
      <c r="G77" s="9" t="n"/>
      <c r="H77" s="9" t="n"/>
      <c r="I77" s="10" t="n"/>
      <c r="J77" s="11" t="n"/>
      <c r="K77" s="11" t="n"/>
    </row>
    <row r="78">
      <c r="B78" s="9">
        <f>MAX(B$5:B77)+1</f>
        <v/>
      </c>
      <c r="C78" s="10" t="n"/>
      <c r="D78" s="49" t="n"/>
      <c r="E78" s="21" t="n"/>
      <c r="F78" s="22" t="n"/>
      <c r="G78" s="9" t="n"/>
      <c r="H78" s="9" t="n"/>
      <c r="I78" s="10" t="n"/>
      <c r="J78" s="11" t="n"/>
      <c r="K78" s="11" t="n"/>
    </row>
    <row r="79">
      <c r="B79" s="9">
        <f>MAX(B$5:B78)+1</f>
        <v/>
      </c>
      <c r="C79" s="10" t="n"/>
      <c r="D79" s="49" t="n"/>
      <c r="E79" s="21" t="n"/>
      <c r="F79" s="22" t="n"/>
      <c r="G79" s="9" t="n"/>
      <c r="H79" s="9" t="n"/>
      <c r="I79" s="10" t="n"/>
      <c r="J79" s="11" t="n"/>
      <c r="K79" s="11" t="n"/>
    </row>
    <row r="80">
      <c r="B80" s="9">
        <f>MAX(B$5:B79)+1</f>
        <v/>
      </c>
      <c r="C80" s="10" t="n"/>
      <c r="D80" s="49" t="n"/>
      <c r="E80" s="21" t="n"/>
      <c r="F80" s="22" t="n"/>
      <c r="G80" s="9" t="n"/>
      <c r="H80" s="9" t="n"/>
      <c r="I80" s="10" t="n"/>
      <c r="J80" s="11" t="n"/>
      <c r="K80" s="11" t="n"/>
    </row>
    <row r="81">
      <c r="B81" s="9">
        <f>MAX(B$5:B80)+1</f>
        <v/>
      </c>
      <c r="C81" s="10" t="n"/>
      <c r="D81" s="49" t="n"/>
      <c r="E81" s="21" t="n"/>
      <c r="F81" s="22" t="n"/>
      <c r="G81" s="9" t="n"/>
      <c r="H81" s="9" t="n"/>
      <c r="I81" s="10" t="n"/>
      <c r="J81" s="11" t="n"/>
      <c r="K81" s="11" t="n"/>
    </row>
    <row r="82">
      <c r="B82" s="9">
        <f>MAX(B$5:B81)+1</f>
        <v/>
      </c>
      <c r="C82" s="10" t="n"/>
      <c r="D82" s="49" t="n"/>
      <c r="E82" s="21" t="n"/>
      <c r="F82" s="22" t="n"/>
      <c r="G82" s="9" t="n"/>
      <c r="H82" s="9" t="n"/>
      <c r="I82" s="10" t="n"/>
      <c r="J82" s="11" t="n"/>
      <c r="K82" s="11" t="n"/>
    </row>
    <row r="83">
      <c r="B83" s="9">
        <f>MAX(B$5:B82)+1</f>
        <v/>
      </c>
      <c r="C83" s="10" t="n"/>
      <c r="D83" s="49" t="n"/>
      <c r="E83" s="21" t="n"/>
      <c r="F83" s="22" t="n"/>
      <c r="G83" s="9" t="n"/>
      <c r="H83" s="9" t="n"/>
      <c r="I83" s="10" t="n"/>
      <c r="J83" s="11" t="n"/>
      <c r="K83" s="11" t="n"/>
    </row>
    <row r="84">
      <c r="B84" s="9">
        <f>MAX(B$5:B83)+1</f>
        <v/>
      </c>
      <c r="C84" s="10" t="n"/>
      <c r="D84" s="49" t="n"/>
      <c r="E84" s="21" t="n"/>
      <c r="F84" s="22" t="n"/>
      <c r="G84" s="9" t="n"/>
      <c r="H84" s="9" t="n"/>
      <c r="I84" s="10" t="n"/>
      <c r="J84" s="11" t="n"/>
      <c r="K84" s="11" t="n"/>
    </row>
    <row r="85">
      <c r="B85" s="9">
        <f>MAX(B$5:B84)+1</f>
        <v/>
      </c>
      <c r="C85" s="10" t="n"/>
      <c r="D85" s="49" t="n"/>
      <c r="E85" s="21" t="n"/>
      <c r="F85" s="22" t="n"/>
      <c r="G85" s="9" t="n"/>
      <c r="H85" s="9" t="n"/>
      <c r="I85" s="10" t="n"/>
      <c r="J85" s="11" t="n"/>
      <c r="K85" s="11" t="n"/>
    </row>
    <row r="86">
      <c r="B86" s="9">
        <f>MAX(B$5:B85)+1</f>
        <v/>
      </c>
      <c r="C86" s="10" t="n"/>
      <c r="D86" s="49" t="n"/>
      <c r="E86" s="21" t="n"/>
      <c r="F86" s="22" t="n"/>
      <c r="G86" s="9" t="n"/>
      <c r="H86" s="9" t="n"/>
      <c r="I86" s="10" t="n"/>
      <c r="J86" s="11" t="n"/>
      <c r="K86" s="11" t="n"/>
    </row>
    <row r="87">
      <c r="B87" s="9">
        <f>MAX(B$5:B86)+1</f>
        <v/>
      </c>
      <c r="C87" s="10" t="n"/>
      <c r="D87" s="49" t="n"/>
      <c r="E87" s="21" t="n"/>
      <c r="F87" s="22" t="n"/>
      <c r="G87" s="9" t="n"/>
      <c r="H87" s="9" t="n"/>
      <c r="I87" s="10" t="n"/>
      <c r="J87" s="11" t="n"/>
      <c r="K87" s="11" t="n"/>
    </row>
    <row r="88">
      <c r="B88" s="9">
        <f>MAX(B$5:B87)+1</f>
        <v/>
      </c>
      <c r="C88" s="10" t="n"/>
      <c r="D88" s="49" t="n"/>
      <c r="E88" s="21" t="n"/>
      <c r="F88" s="22" t="n"/>
      <c r="G88" s="9" t="n"/>
      <c r="H88" s="9" t="n"/>
      <c r="I88" s="10" t="n"/>
      <c r="J88" s="11" t="n"/>
      <c r="K88" s="11" t="n"/>
    </row>
    <row r="89">
      <c r="B89" s="9">
        <f>MAX(B$5:B88)+1</f>
        <v/>
      </c>
      <c r="C89" s="10" t="n"/>
      <c r="D89" s="49" t="n"/>
      <c r="E89" s="21" t="n"/>
      <c r="F89" s="22" t="n"/>
      <c r="G89" s="9" t="n"/>
      <c r="H89" s="9" t="n"/>
      <c r="I89" s="10" t="n"/>
      <c r="J89" s="11" t="n"/>
      <c r="K89" s="11" t="n"/>
    </row>
    <row r="90">
      <c r="B90" s="9">
        <f>MAX(B$5:B89)+1</f>
        <v/>
      </c>
      <c r="C90" s="10" t="n"/>
      <c r="D90" s="49" t="n"/>
      <c r="E90" s="21" t="n"/>
      <c r="F90" s="22" t="n"/>
      <c r="G90" s="9" t="n"/>
      <c r="H90" s="9" t="n"/>
      <c r="I90" s="10" t="n"/>
      <c r="J90" s="11" t="n"/>
      <c r="K90" s="11" t="n"/>
    </row>
    <row r="91">
      <c r="B91" s="9">
        <f>MAX(B$5:B90)+1</f>
        <v/>
      </c>
      <c r="C91" s="10" t="n"/>
      <c r="D91" s="49" t="n"/>
      <c r="E91" s="21" t="n"/>
      <c r="F91" s="22" t="n"/>
      <c r="G91" s="9" t="n"/>
      <c r="H91" s="9" t="n"/>
      <c r="I91" s="10" t="n"/>
      <c r="J91" s="11" t="n"/>
      <c r="K91" s="11" t="n"/>
    </row>
    <row r="92">
      <c r="B92" s="9">
        <f>MAX(B$5:B91)+1</f>
        <v/>
      </c>
      <c r="C92" s="10" t="n"/>
      <c r="D92" s="49" t="n"/>
      <c r="E92" s="21" t="n"/>
      <c r="F92" s="22" t="n"/>
      <c r="G92" s="9" t="n"/>
      <c r="H92" s="9" t="n"/>
      <c r="I92" s="10" t="n"/>
      <c r="J92" s="11" t="n"/>
      <c r="K92" s="11" t="n"/>
    </row>
    <row r="93">
      <c r="B93" s="9">
        <f>MAX(B$5:B92)+1</f>
        <v/>
      </c>
      <c r="C93" s="10" t="n"/>
      <c r="D93" s="49" t="n"/>
      <c r="E93" s="21" t="n"/>
      <c r="F93" s="22" t="n"/>
      <c r="G93" s="9" t="n"/>
      <c r="H93" s="9" t="n"/>
      <c r="I93" s="10" t="n"/>
      <c r="J93" s="11" t="n"/>
      <c r="K93" s="11" t="n"/>
    </row>
    <row r="94">
      <c r="B94" s="9">
        <f>MAX(B$5:B93)+1</f>
        <v/>
      </c>
      <c r="C94" s="10" t="n"/>
      <c r="D94" s="49" t="n"/>
      <c r="E94" s="21" t="n"/>
      <c r="F94" s="22" t="n"/>
      <c r="G94" s="9" t="n"/>
      <c r="H94" s="9" t="n"/>
      <c r="I94" s="10" t="n"/>
      <c r="J94" s="11" t="n"/>
      <c r="K94" s="11" t="n"/>
    </row>
    <row r="95">
      <c r="B95" s="9">
        <f>MAX(B$5:B94)+1</f>
        <v/>
      </c>
      <c r="C95" s="10" t="n"/>
      <c r="D95" s="49" t="n"/>
      <c r="E95" s="21" t="n"/>
      <c r="F95" s="22" t="n"/>
      <c r="G95" s="9" t="n"/>
      <c r="H95" s="9" t="n"/>
      <c r="I95" s="10" t="n"/>
      <c r="J95" s="11" t="n"/>
      <c r="K95" s="11" t="n"/>
    </row>
    <row r="96">
      <c r="B96" s="9">
        <f>MAX(B$5:B95)+1</f>
        <v/>
      </c>
      <c r="C96" s="10" t="n"/>
      <c r="D96" s="49" t="n"/>
      <c r="E96" s="21" t="n"/>
      <c r="F96" s="22" t="n"/>
      <c r="G96" s="9" t="n"/>
      <c r="H96" s="9" t="n"/>
      <c r="I96" s="10" t="n"/>
      <c r="J96" s="11" t="n"/>
      <c r="K96" s="11" t="n"/>
    </row>
    <row r="97">
      <c r="B97" s="9">
        <f>MAX(B$5:B96)+1</f>
        <v/>
      </c>
      <c r="C97" s="10" t="n"/>
      <c r="D97" s="49" t="n"/>
      <c r="E97" s="21" t="n"/>
      <c r="F97" s="22" t="n"/>
      <c r="G97" s="9" t="n"/>
      <c r="H97" s="9" t="n"/>
      <c r="I97" s="10" t="n"/>
      <c r="J97" s="11" t="n"/>
      <c r="K97" s="11" t="n"/>
    </row>
    <row r="98">
      <c r="B98" s="9">
        <f>MAX(B$5:B97)+1</f>
        <v/>
      </c>
      <c r="C98" s="10" t="n"/>
      <c r="D98" s="49" t="n"/>
      <c r="E98" s="21" t="n"/>
      <c r="F98" s="22" t="n"/>
      <c r="G98" s="9" t="n"/>
      <c r="H98" s="9" t="n"/>
      <c r="I98" s="10" t="n"/>
      <c r="J98" s="11" t="n"/>
      <c r="K98" s="11" t="n"/>
    </row>
    <row r="99">
      <c r="B99" s="9">
        <f>MAX(B$5:B98)+1</f>
        <v/>
      </c>
      <c r="C99" s="10" t="n"/>
      <c r="D99" s="49" t="n"/>
      <c r="E99" s="21" t="n"/>
      <c r="F99" s="22" t="n"/>
      <c r="G99" s="9" t="n"/>
      <c r="H99" s="9" t="n"/>
      <c r="I99" s="10" t="n"/>
      <c r="J99" s="11" t="n"/>
      <c r="K99" s="11" t="n"/>
    </row>
    <row r="100">
      <c r="B100" s="9">
        <f>MAX(B$5:B99)+1</f>
        <v/>
      </c>
      <c r="C100" s="10" t="n"/>
      <c r="D100" s="49" t="n"/>
      <c r="E100" s="21" t="n"/>
      <c r="F100" s="22" t="n"/>
      <c r="G100" s="9" t="n"/>
      <c r="H100" s="9" t="n"/>
      <c r="I100" s="10" t="n"/>
      <c r="J100" s="11" t="n"/>
      <c r="K100" s="11" t="n"/>
    </row>
    <row r="101">
      <c r="B101" s="9">
        <f>MAX(B$5:B100)+1</f>
        <v/>
      </c>
      <c r="C101" s="10" t="n"/>
      <c r="D101" s="49" t="n"/>
      <c r="E101" s="21" t="n"/>
      <c r="F101" s="22" t="n"/>
      <c r="G101" s="9" t="n"/>
      <c r="H101" s="9" t="n"/>
      <c r="I101" s="10" t="n"/>
      <c r="J101" s="11" t="n"/>
      <c r="K101" s="11" t="n"/>
    </row>
    <row r="102">
      <c r="B102" s="9">
        <f>MAX(B$5:B101)+1</f>
        <v/>
      </c>
      <c r="C102" s="10" t="n"/>
      <c r="D102" s="49" t="n"/>
      <c r="E102" s="21" t="n"/>
      <c r="F102" s="22" t="n"/>
      <c r="G102" s="9" t="n"/>
      <c r="H102" s="9" t="n"/>
      <c r="I102" s="10" t="n"/>
      <c r="J102" s="11" t="n"/>
      <c r="K102" s="11" t="n"/>
    </row>
    <row r="103">
      <c r="B103" s="9">
        <f>MAX(B$5:B102)+1</f>
        <v/>
      </c>
      <c r="C103" s="10" t="n"/>
      <c r="D103" s="49" t="n"/>
      <c r="E103" s="21" t="n"/>
      <c r="F103" s="22" t="n"/>
      <c r="G103" s="9" t="n"/>
      <c r="H103" s="9" t="n"/>
      <c r="I103" s="10" t="n"/>
      <c r="J103" s="11" t="n"/>
      <c r="K103" s="11" t="n"/>
    </row>
    <row r="104">
      <c r="B104" s="9">
        <f>MAX(B$5:B103)+1</f>
        <v/>
      </c>
      <c r="C104" s="10" t="n"/>
      <c r="D104" s="49" t="n"/>
      <c r="E104" s="21" t="n"/>
      <c r="F104" s="22" t="n"/>
      <c r="G104" s="9" t="n"/>
      <c r="H104" s="9" t="n"/>
      <c r="I104" s="10" t="n"/>
      <c r="J104" s="11" t="n"/>
      <c r="K104" s="11" t="n"/>
    </row>
    <row r="105"/>
    <row r="106"/>
    <row r="107"/>
    <row r="108"/>
    <row r="109"/>
    <row r="110"/>
    <row r="111"/>
    <row r="112"/>
    <row r="113"/>
    <row r="114"/>
    <row r="115"/>
    <row r="116"/>
    <row r="117"/>
    <row r="118"/>
    <row r="119"/>
    <row r="120"/>
    <row r="121"/>
    <row r="122"/>
    <row r="123"/>
    <row r="124"/>
    <row r="125"/>
    <row r="126"/>
    <row r="127"/>
    <row r="128"/>
    <row r="129"/>
    <row r="130"/>
    <row r="131"/>
  </sheetData>
  <autoFilter ref="B4:K104"/>
  <conditionalFormatting sqref="G5:G104">
    <cfRule type="expression" priority="985" dxfId="5">
      <formula>SEARCH("Medium",$G5)&gt;0</formula>
    </cfRule>
    <cfRule type="expression" priority="986" dxfId="4">
      <formula>SEARCH("High",$G5)&gt;0</formula>
    </cfRule>
    <cfRule type="expression" priority="987" dxfId="3">
      <formula>SEARCH("Highest",$G5)&gt;0</formula>
    </cfRule>
  </conditionalFormatting>
  <conditionalFormatting sqref="H5:H104">
    <cfRule type="expression" priority="990" dxfId="2">
      <formula>SEARCH("Partial",$H5)&gt;0</formula>
    </cfRule>
    <cfRule type="expression" priority="991" dxfId="1">
      <formula>SEARCH("Open",$H5)&gt;0</formula>
    </cfRule>
    <cfRule type="expression" priority="992" dxfId="0">
      <formula>SEARCH("Closed",$H5)&gt;0</formula>
    </cfRule>
  </conditionalFormatting>
  <dataValidations count="2">
    <dataValidation sqref="H5:H104" showDropDown="0" showInputMessage="1" showErrorMessage="1" allowBlank="1" type="list">
      <formula1>"Open, Partial, Closed, N/A"</formula1>
    </dataValidation>
    <dataValidation sqref="G5:G104" showDropDown="0" showInputMessage="1" showErrorMessage="1" allowBlank="1" type="list">
      <formula1>"Highest, High, Medium, Low"</formula1>
    </dataValidation>
  </dataValidations>
  <printOptions horizontalCentered="1"/>
  <pageMargins left="0.25" right="0.25" top="0.25" bottom="0.5" header="0" footer="0.25"/>
  <pageSetup orientation="landscape" scale="47" fitToHeight="0"/>
  <headerFooter alignWithMargins="0">
    <oddHeader/>
    <oddFooter>&amp;L&amp;"Calibri,Regular"&amp;10 &amp;K000000#Confidential&amp;C&amp;G&amp;R&amp;8 &amp;P of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B1:AA104"/>
  <sheetViews>
    <sheetView showGridLines="0" zoomScale="85" zoomScaleNormal="85" zoomScaleSheetLayoutView="85" zoomScalePageLayoutView="150" workbookViewId="0">
      <pane xSplit="8" ySplit="4" topLeftCell="I5" activePane="bottomRight" state="frozen"/>
      <selection activeCell="C5" sqref="C5"/>
      <selection pane="topRight" activeCell="C5" sqref="C5"/>
      <selection pane="bottomLeft" activeCell="C5" sqref="C5"/>
      <selection pane="bottomRight" activeCell="C5" sqref="C5"/>
    </sheetView>
  </sheetViews>
  <sheetFormatPr baseColWidth="8" defaultColWidth="8.53515625" defaultRowHeight="12.45"/>
  <cols>
    <col width="1.53515625" customWidth="1" style="1" min="1" max="1"/>
    <col width="5.53515625" customWidth="1" style="1" min="2" max="2"/>
    <col width="13.4609375" bestFit="1" customWidth="1" style="1" min="3" max="3"/>
    <col width="15.53515625" customWidth="1" style="50" min="4" max="4"/>
    <col width="65.69140625" customWidth="1" style="2" min="5" max="5"/>
    <col width="13.4609375" customWidth="1" style="3" min="6" max="6"/>
    <col width="10.53515625" customWidth="1" style="1" min="7" max="9"/>
    <col width="65.69140625" customWidth="1" style="3" min="10" max="11"/>
    <col width="8.53515625" customWidth="1" style="1" min="12" max="12"/>
    <col width="23.4609375" customWidth="1" style="1" min="13" max="13"/>
    <col width="8.53515625" customWidth="1" style="1" min="14" max="16384"/>
  </cols>
  <sheetData>
    <row r="1" ht="10.4" customFormat="1" customHeight="1" s="6">
      <c r="B1" s="8" t="n"/>
      <c r="C1" s="8" t="n"/>
      <c r="D1" s="47" t="n"/>
      <c r="G1" s="7" t="n"/>
      <c r="H1" s="7" t="n"/>
      <c r="I1" s="7" t="n"/>
      <c r="J1" s="7" t="n"/>
      <c r="K1" s="7" t="n"/>
      <c r="L1" s="7" t="n"/>
      <c r="M1" s="7" t="n"/>
      <c r="N1" s="7" t="n"/>
      <c r="O1" s="7" t="n"/>
      <c r="P1" s="7" t="n"/>
      <c r="Q1" s="7" t="n"/>
      <c r="R1" s="7" t="n"/>
      <c r="S1" s="7" t="n"/>
      <c r="T1" s="7" t="n"/>
      <c r="U1" s="7" t="n"/>
      <c r="V1" s="7" t="n"/>
      <c r="W1" s="7" t="n"/>
      <c r="X1" s="7" t="n"/>
      <c r="Y1" s="7" t="n"/>
      <c r="Z1" s="7" t="n"/>
      <c r="AA1" s="7" t="n"/>
    </row>
    <row r="2" ht="20.15" customFormat="1" customHeight="1" s="6">
      <c r="B2" s="32">
        <f>Project&amp;"  |  "&amp;REPLACE(CELL("filename",D1),1,FIND("]",CELL("filename",D1)),"")&amp;" Diligence Tracker"</f>
        <v/>
      </c>
      <c r="C2" s="33" t="n"/>
      <c r="D2" s="48" t="n"/>
      <c r="E2" s="31" t="n"/>
      <c r="F2" s="34" t="n"/>
      <c r="G2" s="31" t="n"/>
      <c r="H2" s="31" t="n"/>
      <c r="I2" s="31" t="n"/>
      <c r="J2" s="31" t="n"/>
      <c r="K2" s="35" t="n"/>
      <c r="L2" s="7" t="n"/>
      <c r="M2" s="7" t="n"/>
      <c r="N2" s="7" t="n"/>
      <c r="O2" s="7" t="n"/>
      <c r="P2" s="7" t="n"/>
      <c r="Q2" s="7" t="n"/>
      <c r="R2" s="7" t="n"/>
      <c r="S2" s="7" t="n"/>
      <c r="T2" s="7" t="n"/>
      <c r="U2" s="7" t="n"/>
      <c r="V2" s="7" t="n"/>
      <c r="W2" s="7" t="n"/>
      <c r="X2" s="7" t="n"/>
      <c r="Y2" s="7" t="n"/>
      <c r="Z2" s="7" t="n"/>
      <c r="AA2" s="7" t="n"/>
    </row>
    <row r="4" ht="24.9" customFormat="1" customHeight="1" s="23">
      <c r="B4" s="25" t="inlineStr">
        <is>
          <t xml:space="preserve">  #</t>
        </is>
      </c>
      <c r="C4" s="24" t="inlineStr">
        <is>
          <t>Date 
Requested</t>
        </is>
      </c>
      <c r="D4" s="24" t="inlineStr">
        <is>
          <t>Category</t>
        </is>
      </c>
      <c r="E4" s="25" t="inlineStr">
        <is>
          <t>Request / Question</t>
        </is>
      </c>
      <c r="F4" s="24" t="inlineStr">
        <is>
          <t>VDR 
Reference</t>
        </is>
      </c>
      <c r="G4" s="25" t="inlineStr">
        <is>
          <t>Priority</t>
        </is>
      </c>
      <c r="H4" s="25" t="inlineStr">
        <is>
          <t>Status</t>
        </is>
      </c>
      <c r="I4" s="24" t="inlineStr">
        <is>
          <t>Last Update</t>
        </is>
      </c>
      <c r="J4" s="24" t="inlineStr">
        <is>
          <t>Seller's Response</t>
        </is>
      </c>
      <c r="K4" s="24" t="inlineStr">
        <is>
          <t>Buyer's Follow-Up Comments</t>
        </is>
      </c>
    </row>
    <row r="5">
      <c r="B5" s="9" t="n">
        <v>1</v>
      </c>
      <c r="C5" s="10" t="n"/>
      <c r="D5" s="49" t="n"/>
      <c r="E5" s="21" t="n"/>
      <c r="F5" s="22" t="n"/>
      <c r="G5" s="9" t="n"/>
      <c r="H5" s="9" t="n"/>
      <c r="I5" s="10" t="n"/>
      <c r="J5" s="11" t="n"/>
      <c r="K5" s="11" t="n"/>
    </row>
    <row r="6">
      <c r="B6" s="9">
        <f>MAX(B$5:B5)+1</f>
        <v/>
      </c>
      <c r="C6" s="10" t="n"/>
      <c r="D6" s="49" t="n"/>
      <c r="E6" s="21" t="n"/>
      <c r="F6" s="22" t="n"/>
      <c r="G6" s="9" t="n"/>
      <c r="H6" s="9" t="n"/>
      <c r="I6" s="10" t="n"/>
      <c r="J6" s="11" t="n"/>
      <c r="K6" s="11" t="n"/>
    </row>
    <row r="7">
      <c r="B7" s="9">
        <f>MAX(B$5:B6)+1</f>
        <v/>
      </c>
      <c r="C7" s="10" t="n"/>
      <c r="D7" s="49" t="n"/>
      <c r="E7" s="21" t="n"/>
      <c r="F7" s="22" t="n"/>
      <c r="G7" s="9" t="n"/>
      <c r="H7" s="9" t="n"/>
      <c r="I7" s="10" t="n"/>
      <c r="J7" s="11" t="n"/>
      <c r="K7" s="11" t="n"/>
    </row>
    <row r="8">
      <c r="B8" s="9">
        <f>MAX(B$5:B7)+1</f>
        <v/>
      </c>
      <c r="C8" s="10" t="n"/>
      <c r="D8" s="49" t="n"/>
      <c r="E8" s="21" t="n"/>
      <c r="F8" s="22" t="n"/>
      <c r="G8" s="9" t="n"/>
      <c r="H8" s="9" t="n"/>
      <c r="I8" s="10" t="n"/>
      <c r="J8" s="11" t="n"/>
      <c r="K8" s="11" t="n"/>
    </row>
    <row r="9">
      <c r="B9" s="9">
        <f>MAX(B$5:B8)+1</f>
        <v/>
      </c>
      <c r="C9" s="10" t="n"/>
      <c r="D9" s="49" t="n"/>
      <c r="E9" s="21" t="n"/>
      <c r="F9" s="22" t="n"/>
      <c r="G9" s="9" t="n"/>
      <c r="H9" s="9" t="n"/>
      <c r="I9" s="10" t="n"/>
      <c r="J9" s="11" t="n"/>
      <c r="K9" s="11" t="n"/>
    </row>
    <row r="10">
      <c r="B10" s="9">
        <f>MAX(B$5:B9)+1</f>
        <v/>
      </c>
      <c r="C10" s="10" t="n"/>
      <c r="D10" s="49" t="n"/>
      <c r="E10" s="21" t="n"/>
      <c r="F10" s="22" t="n"/>
      <c r="G10" s="9" t="n"/>
      <c r="H10" s="9" t="n"/>
      <c r="I10" s="10" t="n"/>
      <c r="J10" s="11" t="n"/>
      <c r="K10" s="11" t="n"/>
    </row>
    <row r="11">
      <c r="B11" s="9">
        <f>MAX(B$5:B10)+1</f>
        <v/>
      </c>
      <c r="C11" s="10" t="n"/>
      <c r="D11" s="49" t="n"/>
      <c r="E11" s="21" t="n"/>
      <c r="F11" s="22" t="n"/>
      <c r="G11" s="9" t="n"/>
      <c r="H11" s="9" t="n"/>
      <c r="I11" s="10" t="n"/>
      <c r="J11" s="11" t="n"/>
      <c r="K11" s="11" t="n"/>
    </row>
    <row r="12">
      <c r="B12" s="9">
        <f>MAX(B$5:B11)+1</f>
        <v/>
      </c>
      <c r="C12" s="10" t="n"/>
      <c r="D12" s="49" t="n"/>
      <c r="E12" s="21" t="n"/>
      <c r="F12" s="22" t="n"/>
      <c r="G12" s="9" t="n"/>
      <c r="H12" s="9" t="n"/>
      <c r="I12" s="10" t="n"/>
      <c r="J12" s="11" t="n"/>
      <c r="K12" s="11" t="n"/>
    </row>
    <row r="13">
      <c r="B13" s="9">
        <f>MAX(B$5:B12)+1</f>
        <v/>
      </c>
      <c r="C13" s="10" t="n"/>
      <c r="D13" s="49" t="n"/>
      <c r="E13" s="21" t="n"/>
      <c r="F13" s="22" t="n"/>
      <c r="G13" s="9" t="n"/>
      <c r="H13" s="9" t="n"/>
      <c r="I13" s="10" t="n"/>
      <c r="J13" s="11" t="n"/>
      <c r="K13" s="11" t="n"/>
    </row>
    <row r="14">
      <c r="B14" s="9">
        <f>MAX(B$5:B13)+1</f>
        <v/>
      </c>
      <c r="C14" s="10" t="n"/>
      <c r="D14" s="49" t="n"/>
      <c r="E14" s="21" t="n"/>
      <c r="F14" s="22" t="n"/>
      <c r="G14" s="9" t="n"/>
      <c r="H14" s="9" t="n"/>
      <c r="I14" s="10" t="n"/>
      <c r="J14" s="11" t="n"/>
      <c r="K14" s="11" t="n"/>
    </row>
    <row r="15">
      <c r="B15" s="9">
        <f>MAX(B$5:B14)+1</f>
        <v/>
      </c>
      <c r="C15" s="10" t="n"/>
      <c r="D15" s="49" t="n"/>
      <c r="E15" s="21" t="n"/>
      <c r="F15" s="22" t="n"/>
      <c r="G15" s="9" t="n"/>
      <c r="H15" s="9" t="n"/>
      <c r="I15" s="10" t="n"/>
      <c r="J15" s="11" t="n"/>
      <c r="K15" s="11" t="n"/>
    </row>
    <row r="16">
      <c r="B16" s="9">
        <f>MAX(B$5:B15)+1</f>
        <v/>
      </c>
      <c r="C16" s="10" t="n"/>
      <c r="D16" s="49" t="n"/>
      <c r="E16" s="21" t="n"/>
      <c r="F16" s="22" t="n"/>
      <c r="G16" s="9" t="n"/>
      <c r="H16" s="9" t="n"/>
      <c r="I16" s="10" t="n"/>
      <c r="J16" s="11" t="n"/>
      <c r="K16" s="11" t="n"/>
    </row>
    <row r="17">
      <c r="B17" s="9">
        <f>MAX(B$5:B16)+1</f>
        <v/>
      </c>
      <c r="C17" s="10" t="n"/>
      <c r="D17" s="49" t="n"/>
      <c r="E17" s="21" t="n"/>
      <c r="F17" s="22" t="n"/>
      <c r="G17" s="9" t="n"/>
      <c r="H17" s="9" t="n"/>
      <c r="I17" s="10" t="n"/>
      <c r="J17" s="11" t="n"/>
      <c r="K17" s="11" t="n"/>
    </row>
    <row r="18">
      <c r="B18" s="9">
        <f>MAX(B$5:B17)+1</f>
        <v/>
      </c>
      <c r="C18" s="10" t="n"/>
      <c r="D18" s="49" t="n"/>
      <c r="E18" s="21" t="n"/>
      <c r="F18" s="22" t="n"/>
      <c r="G18" s="9" t="n"/>
      <c r="H18" s="9" t="n"/>
      <c r="I18" s="10" t="n"/>
      <c r="J18" s="11" t="n"/>
      <c r="K18" s="11" t="n"/>
    </row>
    <row r="19">
      <c r="B19" s="9">
        <f>MAX(B$5:B18)+1</f>
        <v/>
      </c>
      <c r="C19" s="10" t="n"/>
      <c r="D19" s="49" t="n"/>
      <c r="E19" s="21" t="n"/>
      <c r="F19" s="22" t="n"/>
      <c r="G19" s="9" t="n"/>
      <c r="H19" s="9" t="n"/>
      <c r="I19" s="10" t="n"/>
      <c r="J19" s="11" t="n"/>
      <c r="K19" s="11" t="n"/>
    </row>
    <row r="20">
      <c r="B20" s="9">
        <f>MAX(B$5:B19)+1</f>
        <v/>
      </c>
      <c r="C20" s="10" t="n"/>
      <c r="D20" s="49" t="n"/>
      <c r="E20" s="21" t="n"/>
      <c r="F20" s="22" t="n"/>
      <c r="G20" s="9" t="n"/>
      <c r="H20" s="9" t="n"/>
      <c r="I20" s="10" t="n"/>
      <c r="J20" s="11" t="n"/>
      <c r="K20" s="11" t="n"/>
    </row>
    <row r="21">
      <c r="B21" s="9">
        <f>MAX(B$5:B20)+1</f>
        <v/>
      </c>
      <c r="C21" s="10" t="n"/>
      <c r="D21" s="49" t="n"/>
      <c r="E21" s="21" t="n"/>
      <c r="F21" s="22" t="n"/>
      <c r="G21" s="9" t="n"/>
      <c r="H21" s="9" t="n"/>
      <c r="I21" s="10" t="n"/>
      <c r="J21" s="11" t="n"/>
      <c r="K21" s="11" t="n"/>
    </row>
    <row r="22">
      <c r="B22" s="9">
        <f>MAX(B$5:B21)+1</f>
        <v/>
      </c>
      <c r="C22" s="10" t="n"/>
      <c r="D22" s="49" t="n"/>
      <c r="E22" s="21" t="n"/>
      <c r="F22" s="22" t="n"/>
      <c r="G22" s="9" t="n"/>
      <c r="H22" s="9" t="n"/>
      <c r="I22" s="10" t="n"/>
      <c r="J22" s="11" t="n"/>
      <c r="K22" s="11" t="n"/>
    </row>
    <row r="23">
      <c r="B23" s="9">
        <f>MAX(B$5:B22)+1</f>
        <v/>
      </c>
      <c r="C23" s="10" t="n"/>
      <c r="D23" s="49" t="n"/>
      <c r="E23" s="21" t="n"/>
      <c r="F23" s="22" t="n"/>
      <c r="G23" s="9" t="n"/>
      <c r="H23" s="9" t="n"/>
      <c r="I23" s="10" t="n"/>
      <c r="J23" s="11" t="n"/>
      <c r="K23" s="11" t="n"/>
    </row>
    <row r="24">
      <c r="B24" s="9">
        <f>MAX(B$5:B23)+1</f>
        <v/>
      </c>
      <c r="C24" s="10" t="n"/>
      <c r="D24" s="49" t="n"/>
      <c r="E24" s="21" t="n"/>
      <c r="F24" s="22" t="n"/>
      <c r="G24" s="9" t="n"/>
      <c r="H24" s="9" t="n"/>
      <c r="I24" s="10" t="n"/>
      <c r="J24" s="11" t="n"/>
      <c r="K24" s="11" t="n"/>
    </row>
    <row r="25">
      <c r="B25" s="9">
        <f>MAX(B$5:B24)+1</f>
        <v/>
      </c>
      <c r="C25" s="10" t="n"/>
      <c r="D25" s="49" t="n"/>
      <c r="E25" s="21" t="n"/>
      <c r="F25" s="22" t="n"/>
      <c r="G25" s="9" t="n"/>
      <c r="H25" s="9" t="n"/>
      <c r="I25" s="10" t="n"/>
      <c r="J25" s="11" t="n"/>
      <c r="K25" s="11" t="n"/>
    </row>
    <row r="26">
      <c r="B26" s="9">
        <f>MAX(B$5:B25)+1</f>
        <v/>
      </c>
      <c r="C26" s="10" t="n"/>
      <c r="D26" s="49" t="n"/>
      <c r="E26" s="21" t="n"/>
      <c r="F26" s="22" t="n"/>
      <c r="G26" s="9" t="n"/>
      <c r="H26" s="9" t="n"/>
      <c r="I26" s="10" t="n"/>
      <c r="J26" s="11" t="n"/>
      <c r="K26" s="11" t="n"/>
    </row>
    <row r="27">
      <c r="B27" s="9">
        <f>MAX(B$5:B26)+1</f>
        <v/>
      </c>
      <c r="C27" s="10" t="n"/>
      <c r="D27" s="49" t="n"/>
      <c r="E27" s="21" t="n"/>
      <c r="F27" s="22" t="n"/>
      <c r="G27" s="9" t="n"/>
      <c r="H27" s="9" t="n"/>
      <c r="I27" s="10" t="n"/>
      <c r="J27" s="11" t="n"/>
      <c r="K27" s="11" t="n"/>
    </row>
    <row r="28">
      <c r="B28" s="9">
        <f>MAX(B$5:B27)+1</f>
        <v/>
      </c>
      <c r="C28" s="10" t="n"/>
      <c r="D28" s="49" t="n"/>
      <c r="E28" s="21" t="n"/>
      <c r="F28" s="22" t="n"/>
      <c r="G28" s="9" t="n"/>
      <c r="H28" s="9" t="n"/>
      <c r="I28" s="10" t="n"/>
      <c r="J28" s="11" t="n"/>
      <c r="K28" s="11" t="n"/>
    </row>
    <row r="29">
      <c r="B29" s="9">
        <f>MAX(B$5:B28)+1</f>
        <v/>
      </c>
      <c r="C29" s="10" t="n"/>
      <c r="D29" s="49" t="n"/>
      <c r="E29" s="21" t="n"/>
      <c r="F29" s="22" t="n"/>
      <c r="G29" s="9" t="n"/>
      <c r="H29" s="9" t="n"/>
      <c r="I29" s="10" t="n"/>
      <c r="J29" s="11" t="n"/>
      <c r="K29" s="11" t="n"/>
    </row>
    <row r="30">
      <c r="B30" s="9">
        <f>MAX(B$5:B29)+1</f>
        <v/>
      </c>
      <c r="C30" s="10" t="n"/>
      <c r="D30" s="49" t="n"/>
      <c r="E30" s="21" t="n"/>
      <c r="F30" s="22" t="n"/>
      <c r="G30" s="9" t="n"/>
      <c r="H30" s="9" t="n"/>
      <c r="I30" s="10" t="n"/>
      <c r="J30" s="11" t="n"/>
      <c r="K30" s="11" t="n"/>
    </row>
    <row r="31">
      <c r="B31" s="9">
        <f>MAX(B$5:B30)+1</f>
        <v/>
      </c>
      <c r="C31" s="10" t="n"/>
      <c r="D31" s="49" t="n"/>
      <c r="E31" s="21" t="n"/>
      <c r="F31" s="22" t="n"/>
      <c r="G31" s="9" t="n"/>
      <c r="H31" s="9" t="n"/>
      <c r="I31" s="10" t="n"/>
      <c r="J31" s="11" t="n"/>
      <c r="K31" s="11" t="n"/>
    </row>
    <row r="32">
      <c r="B32" s="9">
        <f>MAX(B$5:B31)+1</f>
        <v/>
      </c>
      <c r="C32" s="10" t="n"/>
      <c r="D32" s="49" t="n"/>
      <c r="E32" s="21" t="n"/>
      <c r="F32" s="22" t="n"/>
      <c r="G32" s="9" t="n"/>
      <c r="H32" s="9" t="n"/>
      <c r="I32" s="10" t="n"/>
      <c r="J32" s="11" t="n"/>
      <c r="K32" s="11" t="n"/>
    </row>
    <row r="33">
      <c r="B33" s="9">
        <f>MAX(B$5:B32)+1</f>
        <v/>
      </c>
      <c r="C33" s="10" t="n"/>
      <c r="D33" s="49" t="n"/>
      <c r="E33" s="21" t="n"/>
      <c r="F33" s="22" t="n"/>
      <c r="G33" s="9" t="n"/>
      <c r="H33" s="9" t="n"/>
      <c r="I33" s="10" t="n"/>
      <c r="J33" s="11" t="n"/>
      <c r="K33" s="11" t="n"/>
    </row>
    <row r="34">
      <c r="B34" s="9">
        <f>MAX(B$5:B33)+1</f>
        <v/>
      </c>
      <c r="C34" s="10" t="n"/>
      <c r="D34" s="49" t="n"/>
      <c r="E34" s="21" t="n"/>
      <c r="F34" s="22" t="n"/>
      <c r="G34" s="9" t="n"/>
      <c r="H34" s="9" t="n"/>
      <c r="I34" s="10" t="n"/>
      <c r="J34" s="11" t="n"/>
      <c r="K34" s="11" t="n"/>
    </row>
    <row r="35">
      <c r="B35" s="9">
        <f>MAX(B$5:B34)+1</f>
        <v/>
      </c>
      <c r="C35" s="10" t="n"/>
      <c r="D35" s="49" t="n"/>
      <c r="E35" s="21" t="n"/>
      <c r="F35" s="22" t="n"/>
      <c r="G35" s="9" t="n"/>
      <c r="H35" s="9" t="n"/>
      <c r="I35" s="10" t="n"/>
      <c r="J35" s="11" t="n"/>
      <c r="K35" s="11" t="n"/>
    </row>
    <row r="36">
      <c r="B36" s="9">
        <f>MAX(B$5:B35)+1</f>
        <v/>
      </c>
      <c r="C36" s="10" t="n"/>
      <c r="D36" s="49" t="n"/>
      <c r="E36" s="21" t="n"/>
      <c r="F36" s="22" t="n"/>
      <c r="G36" s="9" t="n"/>
      <c r="H36" s="9" t="n"/>
      <c r="I36" s="10" t="n"/>
      <c r="J36" s="11" t="n"/>
      <c r="K36" s="11" t="n"/>
    </row>
    <row r="37">
      <c r="B37" s="9">
        <f>MAX(B$5:B36)+1</f>
        <v/>
      </c>
      <c r="C37" s="10" t="n"/>
      <c r="D37" s="49" t="n"/>
      <c r="E37" s="21" t="n"/>
      <c r="F37" s="22" t="n"/>
      <c r="G37" s="9" t="n"/>
      <c r="H37" s="9" t="n"/>
      <c r="I37" s="10" t="n"/>
      <c r="J37" s="11" t="n"/>
      <c r="K37" s="11" t="n"/>
    </row>
    <row r="38">
      <c r="B38" s="9">
        <f>MAX(B$5:B37)+1</f>
        <v/>
      </c>
      <c r="C38" s="10" t="n"/>
      <c r="D38" s="49" t="n"/>
      <c r="E38" s="21" t="n"/>
      <c r="F38" s="22" t="n"/>
      <c r="G38" s="9" t="n"/>
      <c r="H38" s="9" t="n"/>
      <c r="I38" s="10" t="n"/>
      <c r="J38" s="11" t="n"/>
      <c r="K38" s="11" t="n"/>
    </row>
    <row r="39">
      <c r="B39" s="9">
        <f>MAX(B$5:B38)+1</f>
        <v/>
      </c>
      <c r="C39" s="10" t="n"/>
      <c r="D39" s="49" t="n"/>
      <c r="E39" s="21" t="n"/>
      <c r="F39" s="22" t="n"/>
      <c r="G39" s="9" t="n"/>
      <c r="H39" s="9" t="n"/>
      <c r="I39" s="10" t="n"/>
      <c r="J39" s="11" t="n"/>
      <c r="K39" s="11" t="n"/>
    </row>
    <row r="40">
      <c r="B40" s="9">
        <f>MAX(B$5:B39)+1</f>
        <v/>
      </c>
      <c r="C40" s="10" t="n"/>
      <c r="D40" s="49" t="n"/>
      <c r="E40" s="21" t="n"/>
      <c r="F40" s="22" t="n"/>
      <c r="G40" s="9" t="n"/>
      <c r="H40" s="9" t="n"/>
      <c r="I40" s="10" t="n"/>
      <c r="J40" s="11" t="n"/>
      <c r="K40" s="11" t="n"/>
    </row>
    <row r="41">
      <c r="B41" s="9">
        <f>MAX(B$5:B40)+1</f>
        <v/>
      </c>
      <c r="C41" s="10" t="n"/>
      <c r="D41" s="49" t="n"/>
      <c r="E41" s="21" t="n"/>
      <c r="F41" s="22" t="n"/>
      <c r="G41" s="9" t="n"/>
      <c r="H41" s="9" t="n"/>
      <c r="I41" s="10" t="n"/>
      <c r="J41" s="11" t="n"/>
      <c r="K41" s="11" t="n"/>
    </row>
    <row r="42">
      <c r="B42" s="9">
        <f>MAX(B$5:B41)+1</f>
        <v/>
      </c>
      <c r="C42" s="10" t="n"/>
      <c r="D42" s="49" t="n"/>
      <c r="E42" s="21" t="n"/>
      <c r="F42" s="22" t="n"/>
      <c r="G42" s="9" t="n"/>
      <c r="H42" s="9" t="n"/>
      <c r="I42" s="10" t="n"/>
      <c r="J42" s="11" t="n"/>
      <c r="K42" s="11" t="n"/>
    </row>
    <row r="43">
      <c r="B43" s="9">
        <f>MAX(B$5:B42)+1</f>
        <v/>
      </c>
      <c r="C43" s="10" t="n"/>
      <c r="D43" s="49" t="n"/>
      <c r="E43" s="21" t="n"/>
      <c r="F43" s="22" t="n"/>
      <c r="G43" s="9" t="n"/>
      <c r="H43" s="9" t="n"/>
      <c r="I43" s="10" t="n"/>
      <c r="J43" s="11" t="n"/>
      <c r="K43" s="11" t="n"/>
    </row>
    <row r="44">
      <c r="B44" s="9">
        <f>MAX(B$5:B43)+1</f>
        <v/>
      </c>
      <c r="C44" s="10" t="n"/>
      <c r="D44" s="49" t="n"/>
      <c r="E44" s="21" t="n"/>
      <c r="F44" s="22" t="n"/>
      <c r="G44" s="9" t="n"/>
      <c r="H44" s="9" t="n"/>
      <c r="I44" s="10" t="n"/>
      <c r="J44" s="11" t="n"/>
      <c r="K44" s="11" t="n"/>
    </row>
    <row r="45">
      <c r="B45" s="9">
        <f>MAX(B$5:B44)+1</f>
        <v/>
      </c>
      <c r="C45" s="10" t="n"/>
      <c r="D45" s="49" t="n"/>
      <c r="E45" s="21" t="n"/>
      <c r="F45" s="22" t="n"/>
      <c r="G45" s="9" t="n"/>
      <c r="H45" s="9" t="n"/>
      <c r="I45" s="10" t="n"/>
      <c r="J45" s="11" t="n"/>
      <c r="K45" s="11" t="n"/>
    </row>
    <row r="46">
      <c r="B46" s="9">
        <f>MAX(B$5:B45)+1</f>
        <v/>
      </c>
      <c r="C46" s="10" t="n"/>
      <c r="D46" s="49" t="n"/>
      <c r="E46" s="21" t="n"/>
      <c r="F46" s="22" t="n"/>
      <c r="G46" s="9" t="n"/>
      <c r="H46" s="9" t="n"/>
      <c r="I46" s="10" t="n"/>
      <c r="J46" s="11" t="n"/>
      <c r="K46" s="11" t="n"/>
    </row>
    <row r="47">
      <c r="B47" s="9">
        <f>MAX(B$5:B46)+1</f>
        <v/>
      </c>
      <c r="C47" s="10" t="n"/>
      <c r="D47" s="49" t="n"/>
      <c r="E47" s="21" t="n"/>
      <c r="F47" s="22" t="n"/>
      <c r="G47" s="9" t="n"/>
      <c r="H47" s="9" t="n"/>
      <c r="I47" s="10" t="n"/>
      <c r="J47" s="11" t="n"/>
      <c r="K47" s="11" t="n"/>
    </row>
    <row r="48">
      <c r="B48" s="9">
        <f>MAX(B$5:B47)+1</f>
        <v/>
      </c>
      <c r="C48" s="10" t="n"/>
      <c r="D48" s="49" t="n"/>
      <c r="E48" s="21" t="n"/>
      <c r="F48" s="22" t="n"/>
      <c r="G48" s="9" t="n"/>
      <c r="H48" s="9" t="n"/>
      <c r="I48" s="10" t="n"/>
      <c r="J48" s="11" t="n"/>
      <c r="K48" s="11" t="n"/>
    </row>
    <row r="49">
      <c r="B49" s="9">
        <f>MAX(B$5:B48)+1</f>
        <v/>
      </c>
      <c r="C49" s="10" t="n"/>
      <c r="D49" s="49" t="n"/>
      <c r="E49" s="21" t="n"/>
      <c r="F49" s="22" t="n"/>
      <c r="G49" s="9" t="n"/>
      <c r="H49" s="9" t="n"/>
      <c r="I49" s="10" t="n"/>
      <c r="J49" s="11" t="n"/>
      <c r="K49" s="11" t="n"/>
    </row>
    <row r="50">
      <c r="B50" s="9">
        <f>MAX(B$5:B49)+1</f>
        <v/>
      </c>
      <c r="C50" s="10" t="n"/>
      <c r="D50" s="49" t="n"/>
      <c r="E50" s="21" t="n"/>
      <c r="F50" s="22" t="n"/>
      <c r="G50" s="9" t="n"/>
      <c r="H50" s="9" t="n"/>
      <c r="I50" s="10" t="n"/>
      <c r="J50" s="11" t="n"/>
      <c r="K50" s="11" t="n"/>
    </row>
    <row r="51">
      <c r="B51" s="9">
        <f>MAX(B$5:B50)+1</f>
        <v/>
      </c>
      <c r="C51" s="10" t="n"/>
      <c r="D51" s="49" t="n"/>
      <c r="E51" s="21" t="n"/>
      <c r="F51" s="22" t="n"/>
      <c r="G51" s="9" t="n"/>
      <c r="H51" s="9" t="n"/>
      <c r="I51" s="10" t="n"/>
      <c r="J51" s="11" t="n"/>
      <c r="K51" s="11" t="n"/>
    </row>
    <row r="52">
      <c r="B52" s="9">
        <f>MAX(B$5:B51)+1</f>
        <v/>
      </c>
      <c r="C52" s="10" t="n"/>
      <c r="D52" s="49" t="n"/>
      <c r="E52" s="21" t="n"/>
      <c r="F52" s="22" t="n"/>
      <c r="G52" s="9" t="n"/>
      <c r="H52" s="9" t="n"/>
      <c r="I52" s="10" t="n"/>
      <c r="J52" s="11" t="n"/>
      <c r="K52" s="11" t="n"/>
    </row>
    <row r="53">
      <c r="B53" s="9">
        <f>MAX(B$5:B52)+1</f>
        <v/>
      </c>
      <c r="C53" s="10" t="n"/>
      <c r="D53" s="49" t="n"/>
      <c r="E53" s="21" t="n"/>
      <c r="F53" s="22" t="n"/>
      <c r="G53" s="9" t="n"/>
      <c r="H53" s="9" t="n"/>
      <c r="I53" s="10" t="n"/>
      <c r="J53" s="11" t="n"/>
      <c r="K53" s="11" t="n"/>
    </row>
    <row r="54">
      <c r="B54" s="9">
        <f>MAX(B$5:B53)+1</f>
        <v/>
      </c>
      <c r="C54" s="10" t="n"/>
      <c r="D54" s="49" t="n"/>
      <c r="E54" s="21" t="n"/>
      <c r="F54" s="22" t="n"/>
      <c r="G54" s="9" t="n"/>
      <c r="H54" s="9" t="n"/>
      <c r="I54" s="10" t="n"/>
      <c r="J54" s="11" t="n"/>
      <c r="K54" s="11" t="n"/>
    </row>
    <row r="55">
      <c r="B55" s="9">
        <f>MAX(B$5:B54)+1</f>
        <v/>
      </c>
      <c r="C55" s="10" t="n"/>
      <c r="D55" s="49" t="n"/>
      <c r="E55" s="21" t="n"/>
      <c r="F55" s="22" t="n"/>
      <c r="G55" s="9" t="n"/>
      <c r="H55" s="9" t="n"/>
      <c r="I55" s="10" t="n"/>
      <c r="J55" s="11" t="n"/>
      <c r="K55" s="11" t="n"/>
    </row>
    <row r="56">
      <c r="B56" s="9">
        <f>MAX(B$5:B55)+1</f>
        <v/>
      </c>
      <c r="C56" s="10" t="n"/>
      <c r="D56" s="49" t="n"/>
      <c r="E56" s="21" t="n"/>
      <c r="F56" s="22" t="n"/>
      <c r="G56" s="9" t="n"/>
      <c r="H56" s="9" t="n"/>
      <c r="I56" s="10" t="n"/>
      <c r="J56" s="11" t="n"/>
      <c r="K56" s="11" t="n"/>
    </row>
    <row r="57">
      <c r="B57" s="9">
        <f>MAX(B$5:B56)+1</f>
        <v/>
      </c>
      <c r="C57" s="10" t="n"/>
      <c r="D57" s="49" t="n"/>
      <c r="E57" s="21" t="n"/>
      <c r="F57" s="22" t="n"/>
      <c r="G57" s="9" t="n"/>
      <c r="H57" s="9" t="n"/>
      <c r="I57" s="10" t="n"/>
      <c r="J57" s="11" t="n"/>
      <c r="K57" s="11" t="n"/>
    </row>
    <row r="58">
      <c r="B58" s="9">
        <f>MAX(B$5:B57)+1</f>
        <v/>
      </c>
      <c r="C58" s="10" t="n"/>
      <c r="D58" s="49" t="n"/>
      <c r="E58" s="21" t="n"/>
      <c r="F58" s="22" t="n"/>
      <c r="G58" s="9" t="n"/>
      <c r="H58" s="9" t="n"/>
      <c r="I58" s="10" t="n"/>
      <c r="J58" s="11" t="n"/>
      <c r="K58" s="11" t="n"/>
    </row>
    <row r="59">
      <c r="B59" s="9">
        <f>MAX(B$5:B58)+1</f>
        <v/>
      </c>
      <c r="C59" s="10" t="n"/>
      <c r="D59" s="49" t="n"/>
      <c r="E59" s="21" t="n"/>
      <c r="F59" s="22" t="n"/>
      <c r="G59" s="9" t="n"/>
      <c r="H59" s="9" t="n"/>
      <c r="I59" s="10" t="n"/>
      <c r="J59" s="11" t="n"/>
      <c r="K59" s="11" t="n"/>
    </row>
    <row r="60">
      <c r="B60" s="9">
        <f>MAX(B$5:B59)+1</f>
        <v/>
      </c>
      <c r="C60" s="10" t="n"/>
      <c r="D60" s="49" t="n"/>
      <c r="E60" s="21" t="n"/>
      <c r="F60" s="22" t="n"/>
      <c r="G60" s="9" t="n"/>
      <c r="H60" s="9" t="n"/>
      <c r="I60" s="10" t="n"/>
      <c r="J60" s="11" t="n"/>
      <c r="K60" s="11" t="n"/>
    </row>
    <row r="61">
      <c r="B61" s="9">
        <f>MAX(B$5:B60)+1</f>
        <v/>
      </c>
      <c r="C61" s="10" t="n"/>
      <c r="D61" s="49" t="n"/>
      <c r="E61" s="21" t="n"/>
      <c r="F61" s="22" t="n"/>
      <c r="G61" s="9" t="n"/>
      <c r="H61" s="9" t="n"/>
      <c r="I61" s="10" t="n"/>
      <c r="J61" s="11" t="n"/>
      <c r="K61" s="11" t="n"/>
    </row>
    <row r="62">
      <c r="B62" s="9">
        <f>MAX(B$5:B61)+1</f>
        <v/>
      </c>
      <c r="C62" s="10" t="n"/>
      <c r="D62" s="49" t="n"/>
      <c r="E62" s="21" t="n"/>
      <c r="F62" s="22" t="n"/>
      <c r="G62" s="9" t="n"/>
      <c r="H62" s="9" t="n"/>
      <c r="I62" s="10" t="n"/>
      <c r="J62" s="11" t="n"/>
      <c r="K62" s="11" t="n"/>
    </row>
    <row r="63">
      <c r="B63" s="9">
        <f>MAX(B$5:B62)+1</f>
        <v/>
      </c>
      <c r="C63" s="10" t="n"/>
      <c r="D63" s="49" t="n"/>
      <c r="E63" s="21" t="n"/>
      <c r="F63" s="22" t="n"/>
      <c r="G63" s="9" t="n"/>
      <c r="H63" s="9" t="n"/>
      <c r="I63" s="10" t="n"/>
      <c r="J63" s="11" t="n"/>
      <c r="K63" s="11" t="n"/>
    </row>
    <row r="64">
      <c r="B64" s="9">
        <f>MAX(B$5:B63)+1</f>
        <v/>
      </c>
      <c r="C64" s="10" t="n"/>
      <c r="D64" s="49" t="n"/>
      <c r="E64" s="21" t="n"/>
      <c r="F64" s="22" t="n"/>
      <c r="G64" s="9" t="n"/>
      <c r="H64" s="9" t="n"/>
      <c r="I64" s="10" t="n"/>
      <c r="J64" s="11" t="n"/>
      <c r="K64" s="11" t="n"/>
    </row>
    <row r="65">
      <c r="B65" s="9">
        <f>MAX(B$5:B64)+1</f>
        <v/>
      </c>
      <c r="C65" s="10" t="n"/>
      <c r="D65" s="49" t="n"/>
      <c r="E65" s="21" t="n"/>
      <c r="F65" s="22" t="n"/>
      <c r="G65" s="9" t="n"/>
      <c r="H65" s="9" t="n"/>
      <c r="I65" s="10" t="n"/>
      <c r="J65" s="11" t="n"/>
      <c r="K65" s="11" t="n"/>
    </row>
    <row r="66">
      <c r="B66" s="9">
        <f>MAX(B$5:B65)+1</f>
        <v/>
      </c>
      <c r="C66" s="10" t="n"/>
      <c r="D66" s="49" t="n"/>
      <c r="E66" s="21" t="n"/>
      <c r="F66" s="22" t="n"/>
      <c r="G66" s="9" t="n"/>
      <c r="H66" s="9" t="n"/>
      <c r="I66" s="10" t="n"/>
      <c r="J66" s="11" t="n"/>
      <c r="K66" s="11" t="n"/>
    </row>
    <row r="67">
      <c r="B67" s="9">
        <f>MAX(B$5:B66)+1</f>
        <v/>
      </c>
      <c r="C67" s="10" t="n"/>
      <c r="D67" s="49" t="n"/>
      <c r="E67" s="21" t="n"/>
      <c r="F67" s="22" t="n"/>
      <c r="G67" s="9" t="n"/>
      <c r="H67" s="9" t="n"/>
      <c r="I67" s="10" t="n"/>
      <c r="J67" s="11" t="n"/>
      <c r="K67" s="11" t="n"/>
    </row>
    <row r="68">
      <c r="B68" s="9">
        <f>MAX(B$5:B67)+1</f>
        <v/>
      </c>
      <c r="C68" s="10" t="n"/>
      <c r="D68" s="49" t="n"/>
      <c r="E68" s="21" t="n"/>
      <c r="F68" s="22" t="n"/>
      <c r="G68" s="9" t="n"/>
      <c r="H68" s="9" t="n"/>
      <c r="I68" s="10" t="n"/>
      <c r="J68" s="11" t="n"/>
      <c r="K68" s="11" t="n"/>
    </row>
    <row r="69">
      <c r="B69" s="9">
        <f>MAX(B$5:B68)+1</f>
        <v/>
      </c>
      <c r="C69" s="10" t="n"/>
      <c r="D69" s="49" t="n"/>
      <c r="E69" s="21" t="n"/>
      <c r="F69" s="22" t="n"/>
      <c r="G69" s="9" t="n"/>
      <c r="H69" s="9" t="n"/>
      <c r="I69" s="10" t="n"/>
      <c r="J69" s="11" t="n"/>
      <c r="K69" s="11" t="n"/>
    </row>
    <row r="70">
      <c r="B70" s="9">
        <f>MAX(B$5:B69)+1</f>
        <v/>
      </c>
      <c r="C70" s="10" t="n"/>
      <c r="D70" s="49" t="n"/>
      <c r="E70" s="21" t="n"/>
      <c r="F70" s="22" t="n"/>
      <c r="G70" s="9" t="n"/>
      <c r="H70" s="9" t="n"/>
      <c r="I70" s="10" t="n"/>
      <c r="J70" s="11" t="n"/>
      <c r="K70" s="11" t="n"/>
    </row>
    <row r="71">
      <c r="B71" s="9">
        <f>MAX(B$5:B70)+1</f>
        <v/>
      </c>
      <c r="C71" s="10" t="n"/>
      <c r="D71" s="49" t="n"/>
      <c r="E71" s="21" t="n"/>
      <c r="F71" s="22" t="n"/>
      <c r="G71" s="9" t="n"/>
      <c r="H71" s="9" t="n"/>
      <c r="I71" s="10" t="n"/>
      <c r="J71" s="11" t="n"/>
      <c r="K71" s="11" t="n"/>
    </row>
    <row r="72">
      <c r="B72" s="9">
        <f>MAX(B$5:B71)+1</f>
        <v/>
      </c>
      <c r="C72" s="10" t="n"/>
      <c r="D72" s="49" t="n"/>
      <c r="E72" s="21" t="n"/>
      <c r="F72" s="22" t="n"/>
      <c r="G72" s="9" t="n"/>
      <c r="H72" s="9" t="n"/>
      <c r="I72" s="10" t="n"/>
      <c r="J72" s="11" t="n"/>
      <c r="K72" s="11" t="n"/>
    </row>
    <row r="73">
      <c r="B73" s="9">
        <f>MAX(B$5:B72)+1</f>
        <v/>
      </c>
      <c r="C73" s="10" t="n"/>
      <c r="D73" s="49" t="n"/>
      <c r="E73" s="21" t="n"/>
      <c r="F73" s="22" t="n"/>
      <c r="G73" s="9" t="n"/>
      <c r="H73" s="9" t="n"/>
      <c r="I73" s="10" t="n"/>
      <c r="J73" s="11" t="n"/>
      <c r="K73" s="11" t="n"/>
    </row>
    <row r="74">
      <c r="B74" s="9">
        <f>MAX(B$5:B73)+1</f>
        <v/>
      </c>
      <c r="C74" s="10" t="n"/>
      <c r="D74" s="49" t="n"/>
      <c r="E74" s="21" t="n"/>
      <c r="F74" s="22" t="n"/>
      <c r="G74" s="9" t="n"/>
      <c r="H74" s="9" t="n"/>
      <c r="I74" s="10" t="n"/>
      <c r="J74" s="11" t="n"/>
      <c r="K74" s="11" t="n"/>
    </row>
    <row r="75">
      <c r="B75" s="9">
        <f>MAX(B$5:B74)+1</f>
        <v/>
      </c>
      <c r="C75" s="10" t="n"/>
      <c r="D75" s="49" t="n"/>
      <c r="E75" s="21" t="n"/>
      <c r="F75" s="22" t="n"/>
      <c r="G75" s="9" t="n"/>
      <c r="H75" s="9" t="n"/>
      <c r="I75" s="10" t="n"/>
      <c r="J75" s="11" t="n"/>
      <c r="K75" s="11" t="n"/>
    </row>
    <row r="76">
      <c r="B76" s="9">
        <f>MAX(B$5:B75)+1</f>
        <v/>
      </c>
      <c r="C76" s="10" t="n"/>
      <c r="D76" s="49" t="n"/>
      <c r="E76" s="21" t="n"/>
      <c r="F76" s="22" t="n"/>
      <c r="G76" s="9" t="n"/>
      <c r="H76" s="9" t="n"/>
      <c r="I76" s="10" t="n"/>
      <c r="J76" s="11" t="n"/>
      <c r="K76" s="11" t="n"/>
    </row>
    <row r="77">
      <c r="B77" s="9">
        <f>MAX(B$5:B76)+1</f>
        <v/>
      </c>
      <c r="C77" s="10" t="n"/>
      <c r="D77" s="49" t="n"/>
      <c r="E77" s="21" t="n"/>
      <c r="F77" s="22" t="n"/>
      <c r="G77" s="9" t="n"/>
      <c r="H77" s="9" t="n"/>
      <c r="I77" s="10" t="n"/>
      <c r="J77" s="11" t="n"/>
      <c r="K77" s="11" t="n"/>
    </row>
    <row r="78">
      <c r="B78" s="9">
        <f>MAX(B$5:B77)+1</f>
        <v/>
      </c>
      <c r="C78" s="10" t="n"/>
      <c r="D78" s="49" t="n"/>
      <c r="E78" s="21" t="n"/>
      <c r="F78" s="22" t="n"/>
      <c r="G78" s="9" t="n"/>
      <c r="H78" s="9" t="n"/>
      <c r="I78" s="10" t="n"/>
      <c r="J78" s="11" t="n"/>
      <c r="K78" s="11" t="n"/>
    </row>
    <row r="79">
      <c r="B79" s="9">
        <f>MAX(B$5:B78)+1</f>
        <v/>
      </c>
      <c r="C79" s="10" t="n"/>
      <c r="D79" s="49" t="n"/>
      <c r="E79" s="21" t="n"/>
      <c r="F79" s="22" t="n"/>
      <c r="G79" s="9" t="n"/>
      <c r="H79" s="9" t="n"/>
      <c r="I79" s="10" t="n"/>
      <c r="J79" s="11" t="n"/>
      <c r="K79" s="11" t="n"/>
    </row>
    <row r="80">
      <c r="B80" s="9">
        <f>MAX(B$5:B79)+1</f>
        <v/>
      </c>
      <c r="C80" s="10" t="n"/>
      <c r="D80" s="49" t="n"/>
      <c r="E80" s="21" t="n"/>
      <c r="F80" s="22" t="n"/>
      <c r="G80" s="9" t="n"/>
      <c r="H80" s="9" t="n"/>
      <c r="I80" s="10" t="n"/>
      <c r="J80" s="11" t="n"/>
      <c r="K80" s="11" t="n"/>
    </row>
    <row r="81">
      <c r="B81" s="9">
        <f>MAX(B$5:B80)+1</f>
        <v/>
      </c>
      <c r="C81" s="10" t="n"/>
      <c r="D81" s="49" t="n"/>
      <c r="E81" s="21" t="n"/>
      <c r="F81" s="22" t="n"/>
      <c r="G81" s="9" t="n"/>
      <c r="H81" s="9" t="n"/>
      <c r="I81" s="10" t="n"/>
      <c r="J81" s="11" t="n"/>
      <c r="K81" s="11" t="n"/>
    </row>
    <row r="82">
      <c r="B82" s="9">
        <f>MAX(B$5:B81)+1</f>
        <v/>
      </c>
      <c r="C82" s="10" t="n"/>
      <c r="D82" s="49" t="n"/>
      <c r="E82" s="21" t="n"/>
      <c r="F82" s="22" t="n"/>
      <c r="G82" s="9" t="n"/>
      <c r="H82" s="9" t="n"/>
      <c r="I82" s="10" t="n"/>
      <c r="J82" s="11" t="n"/>
      <c r="K82" s="11" t="n"/>
    </row>
    <row r="83">
      <c r="B83" s="9">
        <f>MAX(B$5:B82)+1</f>
        <v/>
      </c>
      <c r="C83" s="10" t="n"/>
      <c r="D83" s="49" t="n"/>
      <c r="E83" s="21" t="n"/>
      <c r="F83" s="22" t="n"/>
      <c r="G83" s="9" t="n"/>
      <c r="H83" s="9" t="n"/>
      <c r="I83" s="10" t="n"/>
      <c r="J83" s="11" t="n"/>
      <c r="K83" s="11" t="n"/>
    </row>
    <row r="84">
      <c r="B84" s="9">
        <f>MAX(B$5:B83)+1</f>
        <v/>
      </c>
      <c r="C84" s="10" t="n"/>
      <c r="D84" s="49" t="n"/>
      <c r="E84" s="21" t="n"/>
      <c r="F84" s="22" t="n"/>
      <c r="G84" s="9" t="n"/>
      <c r="H84" s="9" t="n"/>
      <c r="I84" s="10" t="n"/>
      <c r="J84" s="11" t="n"/>
      <c r="K84" s="11" t="n"/>
    </row>
    <row r="85">
      <c r="B85" s="9">
        <f>MAX(B$5:B84)+1</f>
        <v/>
      </c>
      <c r="C85" s="10" t="n"/>
      <c r="D85" s="49" t="n"/>
      <c r="E85" s="21" t="n"/>
      <c r="F85" s="22" t="n"/>
      <c r="G85" s="9" t="n"/>
      <c r="H85" s="9" t="n"/>
      <c r="I85" s="10" t="n"/>
      <c r="J85" s="11" t="n"/>
      <c r="K85" s="11" t="n"/>
    </row>
    <row r="86">
      <c r="B86" s="9">
        <f>MAX(B$5:B85)+1</f>
        <v/>
      </c>
      <c r="C86" s="10" t="n"/>
      <c r="D86" s="49" t="n"/>
      <c r="E86" s="21" t="n"/>
      <c r="F86" s="22" t="n"/>
      <c r="G86" s="9" t="n"/>
      <c r="H86" s="9" t="n"/>
      <c r="I86" s="10" t="n"/>
      <c r="J86" s="11" t="n"/>
      <c r="K86" s="11" t="n"/>
    </row>
    <row r="87">
      <c r="B87" s="9">
        <f>MAX(B$5:B86)+1</f>
        <v/>
      </c>
      <c r="C87" s="10" t="n"/>
      <c r="D87" s="49" t="n"/>
      <c r="E87" s="21" t="n"/>
      <c r="F87" s="22" t="n"/>
      <c r="G87" s="9" t="n"/>
      <c r="H87" s="9" t="n"/>
      <c r="I87" s="10" t="n"/>
      <c r="J87" s="11" t="n"/>
      <c r="K87" s="11" t="n"/>
    </row>
    <row r="88">
      <c r="B88" s="9">
        <f>MAX(B$5:B87)+1</f>
        <v/>
      </c>
      <c r="C88" s="10" t="n"/>
      <c r="D88" s="49" t="n"/>
      <c r="E88" s="21" t="n"/>
      <c r="F88" s="22" t="n"/>
      <c r="G88" s="9" t="n"/>
      <c r="H88" s="9" t="n"/>
      <c r="I88" s="10" t="n"/>
      <c r="J88" s="11" t="n"/>
      <c r="K88" s="11" t="n"/>
    </row>
    <row r="89">
      <c r="B89" s="9">
        <f>MAX(B$5:B88)+1</f>
        <v/>
      </c>
      <c r="C89" s="10" t="n"/>
      <c r="D89" s="49" t="n"/>
      <c r="E89" s="21" t="n"/>
      <c r="F89" s="22" t="n"/>
      <c r="G89" s="9" t="n"/>
      <c r="H89" s="9" t="n"/>
      <c r="I89" s="10" t="n"/>
      <c r="J89" s="11" t="n"/>
      <c r="K89" s="11" t="n"/>
    </row>
    <row r="90">
      <c r="B90" s="9">
        <f>MAX(B$5:B89)+1</f>
        <v/>
      </c>
      <c r="C90" s="10" t="n"/>
      <c r="D90" s="49" t="n"/>
      <c r="E90" s="21" t="n"/>
      <c r="F90" s="22" t="n"/>
      <c r="G90" s="9" t="n"/>
      <c r="H90" s="9" t="n"/>
      <c r="I90" s="10" t="n"/>
      <c r="J90" s="11" t="n"/>
      <c r="K90" s="11" t="n"/>
    </row>
    <row r="91">
      <c r="B91" s="9">
        <f>MAX(B$5:B90)+1</f>
        <v/>
      </c>
      <c r="C91" s="10" t="n"/>
      <c r="D91" s="49" t="n"/>
      <c r="E91" s="21" t="n"/>
      <c r="F91" s="22" t="n"/>
      <c r="G91" s="9" t="n"/>
      <c r="H91" s="9" t="n"/>
      <c r="I91" s="10" t="n"/>
      <c r="J91" s="11" t="n"/>
      <c r="K91" s="11" t="n"/>
    </row>
    <row r="92">
      <c r="B92" s="9">
        <f>MAX(B$5:B91)+1</f>
        <v/>
      </c>
      <c r="C92" s="10" t="n"/>
      <c r="D92" s="49" t="n"/>
      <c r="E92" s="21" t="n"/>
      <c r="F92" s="22" t="n"/>
      <c r="G92" s="9" t="n"/>
      <c r="H92" s="9" t="n"/>
      <c r="I92" s="10" t="n"/>
      <c r="J92" s="11" t="n"/>
      <c r="K92" s="11" t="n"/>
    </row>
    <row r="93">
      <c r="B93" s="9">
        <f>MAX(B$5:B92)+1</f>
        <v/>
      </c>
      <c r="C93" s="10" t="n"/>
      <c r="D93" s="49" t="n"/>
      <c r="E93" s="21" t="n"/>
      <c r="F93" s="22" t="n"/>
      <c r="G93" s="9" t="n"/>
      <c r="H93" s="9" t="n"/>
      <c r="I93" s="10" t="n"/>
      <c r="J93" s="11" t="n"/>
      <c r="K93" s="11" t="n"/>
    </row>
    <row r="94">
      <c r="B94" s="9">
        <f>MAX(B$5:B93)+1</f>
        <v/>
      </c>
      <c r="C94" s="10" t="n"/>
      <c r="D94" s="49" t="n"/>
      <c r="E94" s="21" t="n"/>
      <c r="F94" s="22" t="n"/>
      <c r="G94" s="9" t="n"/>
      <c r="H94" s="9" t="n"/>
      <c r="I94" s="10" t="n"/>
      <c r="J94" s="11" t="n"/>
      <c r="K94" s="11" t="n"/>
    </row>
    <row r="95">
      <c r="B95" s="9">
        <f>MAX(B$5:B94)+1</f>
        <v/>
      </c>
      <c r="C95" s="10" t="n"/>
      <c r="D95" s="49" t="n"/>
      <c r="E95" s="21" t="n"/>
      <c r="F95" s="22" t="n"/>
      <c r="G95" s="9" t="n"/>
      <c r="H95" s="9" t="n"/>
      <c r="I95" s="10" t="n"/>
      <c r="J95" s="11" t="n"/>
      <c r="K95" s="11" t="n"/>
    </row>
    <row r="96">
      <c r="B96" s="9">
        <f>MAX(B$5:B95)+1</f>
        <v/>
      </c>
      <c r="C96" s="10" t="n"/>
      <c r="D96" s="49" t="n"/>
      <c r="E96" s="21" t="n"/>
      <c r="F96" s="22" t="n"/>
      <c r="G96" s="9" t="n"/>
      <c r="H96" s="9" t="n"/>
      <c r="I96" s="10" t="n"/>
      <c r="J96" s="11" t="n"/>
      <c r="K96" s="11" t="n"/>
    </row>
    <row r="97">
      <c r="B97" s="9">
        <f>MAX(B$5:B96)+1</f>
        <v/>
      </c>
      <c r="C97" s="10" t="n"/>
      <c r="D97" s="49" t="n"/>
      <c r="E97" s="21" t="n"/>
      <c r="F97" s="22" t="n"/>
      <c r="G97" s="9" t="n"/>
      <c r="H97" s="9" t="n"/>
      <c r="I97" s="10" t="n"/>
      <c r="J97" s="11" t="n"/>
      <c r="K97" s="11" t="n"/>
    </row>
    <row r="98">
      <c r="B98" s="9">
        <f>MAX(B$5:B97)+1</f>
        <v/>
      </c>
      <c r="C98" s="10" t="n"/>
      <c r="D98" s="49" t="n"/>
      <c r="E98" s="21" t="n"/>
      <c r="F98" s="22" t="n"/>
      <c r="G98" s="9" t="n"/>
      <c r="H98" s="9" t="n"/>
      <c r="I98" s="10" t="n"/>
      <c r="J98" s="11" t="n"/>
      <c r="K98" s="11" t="n"/>
    </row>
    <row r="99">
      <c r="B99" s="9">
        <f>MAX(B$5:B98)+1</f>
        <v/>
      </c>
      <c r="C99" s="10" t="n"/>
      <c r="D99" s="49" t="n"/>
      <c r="E99" s="21" t="n"/>
      <c r="F99" s="22" t="n"/>
      <c r="G99" s="9" t="n"/>
      <c r="H99" s="9" t="n"/>
      <c r="I99" s="10" t="n"/>
      <c r="J99" s="11" t="n"/>
      <c r="K99" s="11" t="n"/>
    </row>
    <row r="100">
      <c r="B100" s="9">
        <f>MAX(B$5:B99)+1</f>
        <v/>
      </c>
      <c r="C100" s="10" t="n"/>
      <c r="D100" s="49" t="n"/>
      <c r="E100" s="21" t="n"/>
      <c r="F100" s="22" t="n"/>
      <c r="G100" s="9" t="n"/>
      <c r="H100" s="9" t="n"/>
      <c r="I100" s="10" t="n"/>
      <c r="J100" s="11" t="n"/>
      <c r="K100" s="11" t="n"/>
    </row>
    <row r="101">
      <c r="B101" s="9">
        <f>MAX(B$5:B100)+1</f>
        <v/>
      </c>
      <c r="C101" s="10" t="n"/>
      <c r="D101" s="49" t="n"/>
      <c r="E101" s="21" t="n"/>
      <c r="F101" s="22" t="n"/>
      <c r="G101" s="9" t="n"/>
      <c r="H101" s="9" t="n"/>
      <c r="I101" s="10" t="n"/>
      <c r="J101" s="11" t="n"/>
      <c r="K101" s="11" t="n"/>
    </row>
    <row r="102">
      <c r="B102" s="9">
        <f>MAX(B$5:B101)+1</f>
        <v/>
      </c>
      <c r="C102" s="10" t="n"/>
      <c r="D102" s="49" t="n"/>
      <c r="E102" s="21" t="n"/>
      <c r="F102" s="22" t="n"/>
      <c r="G102" s="9" t="n"/>
      <c r="H102" s="9" t="n"/>
      <c r="I102" s="10" t="n"/>
      <c r="J102" s="11" t="n"/>
      <c r="K102" s="11" t="n"/>
    </row>
    <row r="103">
      <c r="B103" s="9">
        <f>MAX(B$5:B102)+1</f>
        <v/>
      </c>
      <c r="C103" s="10" t="n"/>
      <c r="D103" s="49" t="n"/>
      <c r="E103" s="21" t="n"/>
      <c r="F103" s="22" t="n"/>
      <c r="G103" s="9" t="n"/>
      <c r="H103" s="9" t="n"/>
      <c r="I103" s="10" t="n"/>
      <c r="J103" s="11" t="n"/>
      <c r="K103" s="11" t="n"/>
    </row>
    <row r="104">
      <c r="B104" s="9">
        <f>MAX(B$5:B103)+1</f>
        <v/>
      </c>
      <c r="C104" s="10" t="n"/>
      <c r="D104" s="49" t="n"/>
      <c r="E104" s="21" t="n"/>
      <c r="F104" s="22" t="n"/>
      <c r="G104" s="9" t="n"/>
      <c r="H104" s="9" t="n"/>
      <c r="I104" s="10" t="n"/>
      <c r="J104" s="11" t="n"/>
      <c r="K104" s="11" t="n"/>
    </row>
  </sheetData>
  <autoFilter ref="B4:K97"/>
  <conditionalFormatting sqref="G5:G489">
    <cfRule type="expression" priority="10" dxfId="5">
      <formula>SEARCH("Medium",$G5)&gt;0</formula>
    </cfRule>
    <cfRule type="expression" priority="11" dxfId="4">
      <formula>SEARCH("High",$G5)&gt;0</formula>
    </cfRule>
    <cfRule type="expression" priority="12" dxfId="3">
      <formula>SEARCH("Highest",$G5)&gt;0</formula>
    </cfRule>
  </conditionalFormatting>
  <conditionalFormatting sqref="H5:H489">
    <cfRule type="expression" priority="15" dxfId="2">
      <formula>SEARCH("Partial",$H5)&gt;0</formula>
    </cfRule>
    <cfRule type="expression" priority="16" dxfId="1">
      <formula>SEARCH("Open",$H5)&gt;0</formula>
    </cfRule>
    <cfRule type="expression" priority="17" dxfId="0">
      <formula>SEARCH("Closed",$H5)&gt;0</formula>
    </cfRule>
  </conditionalFormatting>
  <dataValidations disablePrompts="1" count="2">
    <dataValidation sqref="H5:H104" showDropDown="0" showInputMessage="1" showErrorMessage="1" allowBlank="1" type="list">
      <formula1>"Open, Partial, Closed, N/A"</formula1>
    </dataValidation>
    <dataValidation sqref="G5:G121" showDropDown="0" showInputMessage="1" showErrorMessage="1" allowBlank="1" type="list">
      <formula1>"Highest, High, Medium, Low"</formula1>
    </dataValidation>
  </dataValidations>
  <printOptions horizontalCentered="1"/>
  <pageMargins left="0.25" right="0.25" top="0.25" bottom="0.5" header="0" footer="0.25"/>
  <pageSetup orientation="landscape" scale="47" fitToHeight="0"/>
  <headerFooter alignWithMargins="0">
    <oddHeader/>
    <oddFooter>&amp;L&amp;"Calibri,Regular"&amp;10 &amp;K000000#Confidential&amp;C&amp;G&amp;R&amp;8 &amp;P of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Ung, Sok</dc:creator>
  <dcterms:created xmlns:dcterms="http://purl.org/dc/terms/" xmlns:xsi="http://www.w3.org/2001/XMLSchema-instance" xsi:type="dcterms:W3CDTF">2008-05-22T16:17:18Z</dcterms:created>
  <dcterms:modified xmlns:dcterms="http://purl.org/dc/terms/" xmlns:xsi="http://www.w3.org/2001/XMLSchema-instance" xsi:type="dcterms:W3CDTF">2026-06-17T18:17:56Z</dcterms:modified>
  <cp:lastModifiedBy>Ung, Sok</cp:lastModifiedBy>
</cp:coreProperties>
</file>

<file path=docProps/custom.xml><?xml version="1.0" encoding="utf-8"?>
<Properties xmlns="http://schemas.openxmlformats.org/officeDocument/2006/custom-properties">
  <property name="{A44787D4-0540-4523-9961-78E4036D8C6D}" fmtid="{D5CDD505-2E9C-101B-9397-08002B2CF9AE}" pid="2">
    <vt:lpwstr xmlns:vt="http://schemas.openxmlformats.org/officeDocument/2006/docPropsVTypes">{DE6419C4-C96E-438E-933B-09EF3F270723}</vt:lpwstr>
  </property>
  <property name="MSIP_Label_96de02f7-b21c-43fa-bf93-05c5d6c0c759_Enabled" fmtid="{D5CDD505-2E9C-101B-9397-08002B2CF9AE}" pid="3">
    <vt:lpwstr xmlns:vt="http://schemas.openxmlformats.org/officeDocument/2006/docPropsVTypes">true</vt:lpwstr>
  </property>
  <property name="MSIP_Label_96de02f7-b21c-43fa-bf93-05c5d6c0c759_SetDate" fmtid="{D5CDD505-2E9C-101B-9397-08002B2CF9AE}" pid="4">
    <vt:lpwstr xmlns:vt="http://schemas.openxmlformats.org/officeDocument/2006/docPropsVTypes">2022-12-02T18:53:36Z</vt:lpwstr>
  </property>
  <property name="MSIP_Label_96de02f7-b21c-43fa-bf93-05c5d6c0c759_Method" fmtid="{D5CDD505-2E9C-101B-9397-08002B2CF9AE}" pid="5">
    <vt:lpwstr xmlns:vt="http://schemas.openxmlformats.org/officeDocument/2006/docPropsVTypes">Privileged</vt:lpwstr>
  </property>
  <property name="MSIP_Label_96de02f7-b21c-43fa-bf93-05c5d6c0c759_Name" fmtid="{D5CDD505-2E9C-101B-9397-08002B2CF9AE}" pid="6">
    <vt:lpwstr xmlns:vt="http://schemas.openxmlformats.org/officeDocument/2006/docPropsVTypes">96de02f7-b21c-43fa-bf93-05c5d6c0c759</vt:lpwstr>
  </property>
  <property name="MSIP_Label_96de02f7-b21c-43fa-bf93-05c5d6c0c759_SiteId" fmtid="{D5CDD505-2E9C-101B-9397-08002B2CF9AE}" pid="7">
    <vt:lpwstr xmlns:vt="http://schemas.openxmlformats.org/officeDocument/2006/docPropsVTypes">d9da684f-2c03-432a-a7b6-ed714ffc7683</vt:lpwstr>
  </property>
  <property name="MSIP_Label_96de02f7-b21c-43fa-bf93-05c5d6c0c759_ActionId" fmtid="{D5CDD505-2E9C-101B-9397-08002B2CF9AE}" pid="8">
    <vt:lpwstr xmlns:vt="http://schemas.openxmlformats.org/officeDocument/2006/docPropsVTypes">5a7eabf5-3af1-4f2b-be77-49e402457982</vt:lpwstr>
  </property>
  <property name="MSIP_Label_96de02f7-b21c-43fa-bf93-05c5d6c0c759_ContentBits" fmtid="{D5CDD505-2E9C-101B-9397-08002B2CF9AE}" pid="9">
    <vt:lpwstr xmlns:vt="http://schemas.openxmlformats.org/officeDocument/2006/docPropsVTypes">2</vt:lpwstr>
  </property>
  <property name="ContentTypeId" fmtid="{D5CDD505-2E9C-101B-9397-08002B2CF9AE}" pid="10">
    <vt:lpwstr xmlns:vt="http://schemas.openxmlformats.org/officeDocument/2006/docPropsVTypes">0x01010087A50D0084AB704ABAB79EA8984CD87D</vt:lpwstr>
  </property>
  <property name="MediaServiceImageTags" fmtid="{D5CDD505-2E9C-101B-9397-08002B2CF9AE}" pid="11">
    <vt:lpwstr xmlns:vt="http://schemas.openxmlformats.org/officeDocument/2006/docPropsVTypes"/>
  </property>
</Properties>
</file>