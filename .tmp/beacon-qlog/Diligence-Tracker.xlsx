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myteam.td.com/sites/CIBDealDocumentationActive/MyDocuments/Project Beacon (2026)_P28740/10. Buyer Diligence/Template to Send Buyers/"/>
    </mc:Choice>
  </mc:AlternateContent>
  <xr:revisionPtr revIDLastSave="30" documentId="8_{2C35E2B4-9B2B-48FF-99D9-5A2123BF9269}" xr6:coauthVersionLast="47" xr6:coauthVersionMax="47" xr10:uidLastSave="{EBECBBE5-8408-40D8-BE9F-2FD55C7C894F}"/>
  <bookViews>
    <workbookView xWindow="-103" yWindow="-103" windowWidth="33120" windowHeight="18000" tabRatio="762" activeTab="1" xr2:uid="{00000000-000D-0000-FFFF-FFFF00000000}"/>
  </bookViews>
  <sheets>
    <sheet name="Overview" sheetId="5" r:id="rId1"/>
    <sheet name="Buyer" sheetId="31" r:id="rId2"/>
    <sheet name="Advisor A" sheetId="30" r:id="rId3"/>
    <sheet name="Advisor B" sheetId="32" r:id="rId4"/>
    <sheet name="Advisor C" sheetId="34" r:id="rId5"/>
  </sheets>
  <definedNames>
    <definedName name="_bdm.098c0dc1cdce4a2d9601a49b236b5f50.edm" hidden="1">#REF!</definedName>
    <definedName name="_bdm.31eaf11ce9d2494fb5abd24274c39f42.edm" hidden="1">#REF!</definedName>
    <definedName name="_bdm.4e61145f064f4204b407974798549103.edm" hidden="1">#REF!</definedName>
    <definedName name="_bdm.52347fa2826d4edaa4da1784c99e7169.edm" hidden="1">#REF!</definedName>
    <definedName name="_bdm.5c0a69fc313546e897481aa34a2d63e5.edm" hidden="1">#REF!</definedName>
    <definedName name="_bdm.62d28a9dfaf0471e95651a862b117eb0.edm" hidden="1">#REF!</definedName>
    <definedName name="_bdm.738d10a0829844d7b540758ea1d074af.edm" hidden="1">#REF!</definedName>
    <definedName name="_bdm.970803a3dc404e48ba20167bab723d8c.edm" hidden="1">#REF!</definedName>
    <definedName name="_bdm.9f4863e984854089ba8d4a7a6a439cce.edm" hidden="1">#REF!</definedName>
    <definedName name="_bdm.a26292d2b2514f84a7a7e787c2e7377a.edm" hidden="1">#REF!</definedName>
    <definedName name="_bdm.a291176fa9724802ae5ce7ed697da803.edm" hidden="1">#REF!</definedName>
    <definedName name="_bdm.ab87c15f10f849b395380c682a580550.edm" hidden="1">#REF!</definedName>
    <definedName name="_bdm.acaac2e6699b4cdb9dc49c628b948f28.edm" hidden="1">#REF!</definedName>
    <definedName name="_bdm.b7b4435259454cddb1ab997a96fdf01d.edm" hidden="1">#REF!</definedName>
    <definedName name="_bdm.bfd7f9a1c3774e97b34ea6f2b721e5e3.edm" hidden="1">#REF!</definedName>
    <definedName name="_bdm.cae69fc738dc436898ee1903d59e515e.edm" hidden="1">#REF!</definedName>
    <definedName name="_bdm.ce2699391f0a4557b1530cc16c840720.edm" hidden="1">#REF!</definedName>
    <definedName name="_bdm.dfcb95eeee834fb0bd11a4613f4307c8.edm" hidden="1">#REF!</definedName>
    <definedName name="_bdm.dfefbe4a3b4149b297c704466f019cd2.edm" hidden="1">#REF!</definedName>
    <definedName name="_bdm.f67e07cd27474d99ba3cb83de2d55b60.edm" hidden="1">#REF!</definedName>
    <definedName name="_bdm.fb4def79d5d44a88bc018c480ddf127d.edm" hidden="1">#REF!</definedName>
    <definedName name="_xlnm._FilterDatabase" localSheetId="2" hidden="1">'Advisor A'!$B$4:$K$100</definedName>
    <definedName name="_xlnm._FilterDatabase" localSheetId="3" hidden="1">'Advisor B'!$B$4:$K$104</definedName>
    <definedName name="_xlnm._FilterDatabase" localSheetId="4" hidden="1">'Advisor C'!$B$4:$K$97</definedName>
    <definedName name="_xlnm._FilterDatabase" localSheetId="1" hidden="1">Buyer!$B$4:$K$104</definedName>
    <definedName name="_xlnm._FilterDatabase" localSheetId="0" hidden="1">Overview!$B$53:$M$64</definedName>
    <definedName name="_Order1" hidden="1">0</definedName>
    <definedName name="_Order2" hidden="1">255</definedName>
    <definedName name="APWREFDTICKER" hidden="1">"'Ticker"</definedName>
    <definedName name="APWREFVTICKER" hidden="1">"'='Assumptions'!$J$6"</definedName>
    <definedName name="Calendar10MonthOption">MATCH(Calendar10Month,Months,0)</definedName>
    <definedName name="Calendar11MonthOption">MATCH(Calendar11Month,Months,0)</definedName>
    <definedName name="Calendar12MonthOption">MATCH(Calendar12Month,Months,0)</definedName>
    <definedName name="Calendar1MonthOption">MATCH(Calendar1Month,Months,0)</definedName>
    <definedName name="Calendar2MonthOption">MATCH(Calendar2Month,Months,0)</definedName>
    <definedName name="Calendar3MonthOption">MATCH(Calendar3Month,Months,0)</definedName>
    <definedName name="Calendar4MonthOption">MATCH(Calendar4Month,Months,0)</definedName>
    <definedName name="Calendar5MonthOption">MATCH(Calendar5Month,Months,0)</definedName>
    <definedName name="Calendar6MonthOption">MATCH(Calendar6Month,Months,0)</definedName>
    <definedName name="Calendar7MonthOption">MATCH(Calendar7Month,Months,0)</definedName>
    <definedName name="Calendar8MonthOption">MATCH(Calendar8Month,Months,0)</definedName>
    <definedName name="Calendar9MonthOption">MATCH(Calendar9Month,Months,0)</definedName>
    <definedName name="CIQWBGuid" hidden="1">"Project Seattle - Platinum Initial Diligence Requests - 10 29 12.xlsx"</definedName>
    <definedName name="CIQWBGuid_1" hidden="1">"9c2f7423-1f3d-41ff-b6a1-ac8074614739"</definedName>
    <definedName name="CIQWBInfo" hidden="1">"{ ""CIQVersion"":""9.45.614.5792"" }"</definedName>
    <definedName name="Days">{0,1,2,3,4,5,6}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NET_OPER_ASSETS_BR" hidden="1">"c3595"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ENSE_CODE_" hidden="1">"SAG Marketing"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46127.8239699074</definedName>
    <definedName name="IQ_NAMES_REVISION_DATE__1" hidden="1">42027.2895717593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MORT_BR" hidden="1">"c5566"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WEEK" hidden="1">"c1823"</definedName>
    <definedName name="IQ_PERCENT_CHANGE_EST_FFO_WEEK_CIQ" hidden="1">"c3795"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EVOLVING_SECURED_1_4_NON_ACCRUAL_FFIEC" hidden="1">"c13314"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_BR" hidden="1">"c5517"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>3000</definedName>
    <definedName name="IQ_YTDMONTH" hidden="1">130000</definedName>
    <definedName name="IQB_BOOKMARK_COUNT" hidden="1">1</definedName>
    <definedName name="IQB_BOOKMARK_LOCATION_0" hidden="1">#REF!</definedName>
    <definedName name="IQRAA5" hidden="1">"$AA$6:$AA$9"</definedName>
    <definedName name="IQRAB5" hidden="1">"$AB$6:$AB$8"</definedName>
    <definedName name="IQRAC5" hidden="1">"$AC$6:$AC$9"</definedName>
    <definedName name="IQRAD5" hidden="1">"$AD$6:$AD$8"</definedName>
    <definedName name="IQRAE5" hidden="1">"$AE$6:$AE$14"</definedName>
    <definedName name="IQRAF5" hidden="1">"$AF$6:$AF$8"</definedName>
    <definedName name="IQRAG5" hidden="1">"$AG$6:$AG$7"</definedName>
    <definedName name="IQRAH5" hidden="1">"$AH$6:$AH$10"</definedName>
    <definedName name="IQRAI5" hidden="1">"$AI$6:$AI$14"</definedName>
    <definedName name="IQRAJ5" hidden="1">"$AJ$6:$AJ$10"</definedName>
    <definedName name="IQRAK5" hidden="1">"$AK$6:$AK$10"</definedName>
    <definedName name="IQRAL5" hidden="1">"$AL$6:$AL$11"</definedName>
    <definedName name="IQRAM5" hidden="1">"$AM$6:$AM$9"</definedName>
    <definedName name="IQRAN5" hidden="1">"$AN$6:$AN$9"</definedName>
    <definedName name="IQRAO5" hidden="1">"$AO$6:$AO$10"</definedName>
    <definedName name="IQRAP5" hidden="1">"$AP$6:$AP$13"</definedName>
    <definedName name="IQRAQ5" hidden="1">"$AQ$6:$AQ$9"</definedName>
    <definedName name="IQRAR5" hidden="1">"$AR$6:$AR$11"</definedName>
    <definedName name="IQRAS5" hidden="1">"$AS$6:$AS$10"</definedName>
    <definedName name="IQRAT5" hidden="1">"$AT$6"</definedName>
    <definedName name="IQRAU5" hidden="1">"$AU$6:$AU$11"</definedName>
    <definedName name="IQRAV5" hidden="1">"$AV$6:$AV$7"</definedName>
    <definedName name="IQRAW5" hidden="1">"$AW$6:$AW$8"</definedName>
    <definedName name="IQRAX5" hidden="1">"$AX$6:$AX$7"</definedName>
    <definedName name="IQRAY5" hidden="1">"$AY$6:$AY$9"</definedName>
    <definedName name="IQRAZ5" hidden="1">"$AZ$6:$AZ$14"</definedName>
    <definedName name="IQRB5" hidden="1">"$B$6:$B$13"</definedName>
    <definedName name="IQRBA5" hidden="1">"$BA$6:$BA$8"</definedName>
    <definedName name="IQRBB5" hidden="1">"$BB$6:$BB$9"</definedName>
    <definedName name="IQRBC5" hidden="1">"$BC$6:$BC$8"</definedName>
    <definedName name="IQRBD5" hidden="1">"$BD$6:$BD$10"</definedName>
    <definedName name="IQRBE5" hidden="1">"$BE$6:$BE$11"</definedName>
    <definedName name="IQRBF5" hidden="1">"$BF$6:$BF$8"</definedName>
    <definedName name="IQRBG5" hidden="1">"$BG$6:$BG$13"</definedName>
    <definedName name="IQRBI5" hidden="1">"$BI$6:$BI$7"</definedName>
    <definedName name="IQRBJ5" hidden="1">"$BJ$6:$BJ$7"</definedName>
    <definedName name="IQRBK5" hidden="1">"$BK$6:$BK$11"</definedName>
    <definedName name="IQRBL5" hidden="1">"$BL$6:$BL$9"</definedName>
    <definedName name="IQRBM5" hidden="1">"$BM$6:$BM$7"</definedName>
    <definedName name="IQRBN5" hidden="1">"$BN$6:$BN$9"</definedName>
    <definedName name="IQRBO5" hidden="1">"$BO$6:$BO$9"</definedName>
    <definedName name="IQRBP5" hidden="1">"$BP$6:$BP$7"</definedName>
    <definedName name="IQRBQ5" hidden="1">"$BQ$6:$BQ$9"</definedName>
    <definedName name="IQRBR5" hidden="1">"$BR$6:$BR$9"</definedName>
    <definedName name="IQRBS5" hidden="1">"$BS$6:$BS$14"</definedName>
    <definedName name="IQRBT5" hidden="1">"$BT$6:$BT$7"</definedName>
    <definedName name="IQRBU5" hidden="1">"$BU$6:$BU$13"</definedName>
    <definedName name="IQRBV5" hidden="1">"$BV$6:$BV$10"</definedName>
    <definedName name="IQRBW5" hidden="1">"$BW$6:$BW$19"</definedName>
    <definedName name="IQRBX5" hidden="1">"$BX$6:$BX$8"</definedName>
    <definedName name="IQRBY5" hidden="1">"$BY$6:$BY$10"</definedName>
    <definedName name="IQRBZ5" hidden="1">"$BZ$6:$BZ$12"</definedName>
    <definedName name="IQRC5" hidden="1">"$C$6:$C$16"</definedName>
    <definedName name="IQRCA5" hidden="1">"$CA$6:$CA$10"</definedName>
    <definedName name="IQRCompaniesH12" hidden="1">#REF!</definedName>
    <definedName name="IQRCompaniesH13" hidden="1">#REF!</definedName>
    <definedName name="IQRCompaniesH14" hidden="1">#REF!</definedName>
    <definedName name="IQRCompaniesH15" hidden="1">#REF!</definedName>
    <definedName name="IQRCompaniesH16" hidden="1">#REF!</definedName>
    <definedName name="IQRCompaniesH17" hidden="1">#REF!</definedName>
    <definedName name="IQRCompaniesH18" hidden="1">#REF!</definedName>
    <definedName name="IQRCompaniesH19" hidden="1">#REF!</definedName>
    <definedName name="IQRCompaniesH20" hidden="1">#REF!</definedName>
    <definedName name="IQRCompaniesH21" hidden="1">#REF!</definedName>
    <definedName name="IQRCompaniesH22" hidden="1">#REF!</definedName>
    <definedName name="IQRCompaniesH23" hidden="1">#REF!</definedName>
    <definedName name="IQRCompaniesH24" hidden="1">#REF!</definedName>
    <definedName name="IQRCompaniesH25" hidden="1">#REF!</definedName>
    <definedName name="IQRCompaniesN12" hidden="1">#REF!</definedName>
    <definedName name="IQRCompaniesN13" hidden="1">#REF!</definedName>
    <definedName name="IQRCompaniesN14" hidden="1">#REF!</definedName>
    <definedName name="IQRCompaniesN15" hidden="1">#REF!</definedName>
    <definedName name="IQRCompaniesN16" hidden="1">#REF!</definedName>
    <definedName name="IQRCompaniesN17" hidden="1">#REF!</definedName>
    <definedName name="IQRCompaniesN18" hidden="1">#REF!</definedName>
    <definedName name="IQRCompaniesN19" hidden="1">#REF!</definedName>
    <definedName name="IQRCompaniesN20" hidden="1">#REF!</definedName>
    <definedName name="IQRCompaniesN21" hidden="1">#REF!</definedName>
    <definedName name="IQRCompaniesN22" hidden="1">#REF!</definedName>
    <definedName name="IQRCompaniesN23" hidden="1">#REF!</definedName>
    <definedName name="IQRCompaniesN24" hidden="1">#REF!</definedName>
    <definedName name="IQRCompaniesN25" hidden="1">#REF!</definedName>
    <definedName name="IQRD5" hidden="1">"$D$6:$D$11"</definedName>
    <definedName name="IQRF5" hidden="1">"$F$6:$F$8"</definedName>
    <definedName name="IQRG5" hidden="1">"$G$6:$G$8"</definedName>
    <definedName name="IQRH12" hidden="1">"$I$12:$L$12"</definedName>
    <definedName name="IQRH5" hidden="1">"$H$6:$H$17"</definedName>
    <definedName name="IQRI5" hidden="1">"$I$6:$I$8"</definedName>
    <definedName name="IQRJ5" hidden="1">"$J$6:$J$10"</definedName>
    <definedName name="IQRK5" hidden="1">"$K$6:$K$11"</definedName>
    <definedName name="IQRL10" hidden="1">"$M$10"</definedName>
    <definedName name="IQRL100" hidden="1">"$M$100"</definedName>
    <definedName name="IQRL101" hidden="1">"$M$101"</definedName>
    <definedName name="IQRL102" hidden="1">"$M$102"</definedName>
    <definedName name="IQRL103" hidden="1">"$M$103"</definedName>
    <definedName name="IQRL104" hidden="1">"$M$104"</definedName>
    <definedName name="IQRL105" hidden="1">"$M$105"</definedName>
    <definedName name="IQRL106" hidden="1">"$M$106"</definedName>
    <definedName name="IQRL107" hidden="1">"$M$107"</definedName>
    <definedName name="IQRL108" hidden="1">"$M$108"</definedName>
    <definedName name="IQRL109" hidden="1">"$M$109"</definedName>
    <definedName name="IQRL11" hidden="1">"$M$11"</definedName>
    <definedName name="IQRL110" hidden="1">"$M$110"</definedName>
    <definedName name="IQRL111" hidden="1">"$M$111"</definedName>
    <definedName name="IQRL112" hidden="1">"$M$112"</definedName>
    <definedName name="IQRL113" hidden="1">"$M$113"</definedName>
    <definedName name="IQRL114" hidden="1">"$M$114"</definedName>
    <definedName name="IQRL115" hidden="1">"$M$115"</definedName>
    <definedName name="IQRL116" hidden="1">"$M$116"</definedName>
    <definedName name="IQRL117" hidden="1">"$M$117"</definedName>
    <definedName name="IQRL118" hidden="1">"$M$118"</definedName>
    <definedName name="IQRL119" hidden="1">"$M$119"</definedName>
    <definedName name="IQRL12" hidden="1">"$M$12"</definedName>
    <definedName name="IQRL120" hidden="1">"$M$120"</definedName>
    <definedName name="IQRL121" hidden="1">"$M$121"</definedName>
    <definedName name="IQRL122" hidden="1">"$M$122"</definedName>
    <definedName name="IQRL123" hidden="1">"$M$123"</definedName>
    <definedName name="IQRL124" hidden="1">"$M$124"</definedName>
    <definedName name="IQRL125" hidden="1">"$M$125"</definedName>
    <definedName name="IQRL126" hidden="1">"$M$126"</definedName>
    <definedName name="IQRL127" hidden="1">"$M$127"</definedName>
    <definedName name="IQRL128" hidden="1">"$M$128"</definedName>
    <definedName name="IQRL129" hidden="1">"$M$129"</definedName>
    <definedName name="IQRL13" hidden="1">"$M$13"</definedName>
    <definedName name="IQRL130" hidden="1">"$M$130"</definedName>
    <definedName name="IQRL131" hidden="1">"$M$131"</definedName>
    <definedName name="IQRL132" hidden="1">"$M$132"</definedName>
    <definedName name="IQRL133" hidden="1">"$M$133"</definedName>
    <definedName name="IQRL134" hidden="1">"$M$134"</definedName>
    <definedName name="IQRL135" hidden="1">"$M$135"</definedName>
    <definedName name="IQRL136" hidden="1">"$M$136"</definedName>
    <definedName name="IQRL137" hidden="1">"$M$137"</definedName>
    <definedName name="IQRL138" hidden="1">"$M$138"</definedName>
    <definedName name="IQRL139" hidden="1">"$M$139"</definedName>
    <definedName name="IQRL14" hidden="1">"$M$14"</definedName>
    <definedName name="IQRL140" hidden="1">"$M$140"</definedName>
    <definedName name="IQRL141" hidden="1">"$M$141"</definedName>
    <definedName name="IQRL142" hidden="1">"$M$142"</definedName>
    <definedName name="IQRL143" hidden="1">"$M$143"</definedName>
    <definedName name="IQRL144" hidden="1">"$M$144"</definedName>
    <definedName name="IQRL145" hidden="1">"$M$145"</definedName>
    <definedName name="IQRL146" hidden="1">"$M$146"</definedName>
    <definedName name="IQRL147" hidden="1">"$M$147"</definedName>
    <definedName name="IQRL148" hidden="1">"$M$148"</definedName>
    <definedName name="IQRL149" hidden="1">"$M$149"</definedName>
    <definedName name="IQRL15" hidden="1">"$M$15"</definedName>
    <definedName name="IQRL150" hidden="1">"$M$150"</definedName>
    <definedName name="IQRL151" hidden="1">"$M$151"</definedName>
    <definedName name="IQRL152" hidden="1">"$M$152"</definedName>
    <definedName name="IQRL153" hidden="1">"$M$153"</definedName>
    <definedName name="IQRL154" hidden="1">"$M$154"</definedName>
    <definedName name="IQRL155" hidden="1">"$M$155"</definedName>
    <definedName name="IQRL16" hidden="1">"$M$16"</definedName>
    <definedName name="IQRL17" hidden="1">"$M$17"</definedName>
    <definedName name="IQRL18" hidden="1">"$M$18"</definedName>
    <definedName name="IQRL19" hidden="1">"$M$19"</definedName>
    <definedName name="IQRL20" hidden="1">"$M$20"</definedName>
    <definedName name="IQRL21" hidden="1">"$M$21"</definedName>
    <definedName name="IQRL22" hidden="1">"$M$22"</definedName>
    <definedName name="IQRL23" hidden="1">"$M$23"</definedName>
    <definedName name="IQRL24" hidden="1">"$M$24"</definedName>
    <definedName name="IQRL25" hidden="1">"$M$25"</definedName>
    <definedName name="IQRL26" hidden="1">"$M$26"</definedName>
    <definedName name="IQRL27" hidden="1">"$M$27"</definedName>
    <definedName name="IQRL28" hidden="1">"$M$28"</definedName>
    <definedName name="IQRL29" hidden="1">"$M$29"</definedName>
    <definedName name="IQRL30" hidden="1">"$M$30"</definedName>
    <definedName name="IQRL31" hidden="1">"$M$31"</definedName>
    <definedName name="IQRL32" hidden="1">"$M$32"</definedName>
    <definedName name="IQRL33" hidden="1">"$M$33"</definedName>
    <definedName name="IQRL34" hidden="1">"$M$34"</definedName>
    <definedName name="IQRL35" hidden="1">"$M$35"</definedName>
    <definedName name="IQRL36" hidden="1">"$M$36"</definedName>
    <definedName name="IQRL37" hidden="1">"$M$37"</definedName>
    <definedName name="IQRL38" hidden="1">"$M$38"</definedName>
    <definedName name="IQRL39" hidden="1">"$M$39"</definedName>
    <definedName name="IQRL40" hidden="1">"$M$40"</definedName>
    <definedName name="IQRL41" hidden="1">"$M$41"</definedName>
    <definedName name="IQRL42" hidden="1">"$M$42"</definedName>
    <definedName name="IQRL43" hidden="1">"$M$43"</definedName>
    <definedName name="IQRL44" hidden="1">"$M$44"</definedName>
    <definedName name="IQRL45" hidden="1">"$M$45"</definedName>
    <definedName name="IQRL46" hidden="1">"$M$46"</definedName>
    <definedName name="IQRL47" hidden="1">"$M$47"</definedName>
    <definedName name="IQRL48" hidden="1">"$M$48"</definedName>
    <definedName name="IQRL49" hidden="1">"$M$49"</definedName>
    <definedName name="IQRL5" hidden="1">"$L$6:$L$8"</definedName>
    <definedName name="IQRL50" hidden="1">"$M$50"</definedName>
    <definedName name="IQRL51" hidden="1">"$M$51"</definedName>
    <definedName name="IQRL52" hidden="1">"$M$52"</definedName>
    <definedName name="IQRL53" hidden="1">"$M$53"</definedName>
    <definedName name="IQRL54" hidden="1">"$M$54"</definedName>
    <definedName name="IQRL55" hidden="1">"$M$55"</definedName>
    <definedName name="IQRL56" hidden="1">"$M$56"</definedName>
    <definedName name="IQRL57" hidden="1">"$M$57"</definedName>
    <definedName name="IQRL58" hidden="1">"$M$58"</definedName>
    <definedName name="IQRL59" hidden="1">"$M$59"</definedName>
    <definedName name="IQRL6" hidden="1">"$M$6"</definedName>
    <definedName name="IQRL60" hidden="1">"$M$60"</definedName>
    <definedName name="IQRL61" hidden="1">"$M$61"</definedName>
    <definedName name="IQRL62" hidden="1">"$M$62"</definedName>
    <definedName name="IQRL63" hidden="1">"$M$63"</definedName>
    <definedName name="IQRL64" hidden="1">"$M$64"</definedName>
    <definedName name="IQRL65" hidden="1">"$M$65"</definedName>
    <definedName name="IQRL66" hidden="1">"$M$66"</definedName>
    <definedName name="IQRL67" hidden="1">"$M$67"</definedName>
    <definedName name="IQRL68" hidden="1">"$M$68"</definedName>
    <definedName name="IQRL69" hidden="1">"$M$69"</definedName>
    <definedName name="IQRL7" hidden="1">"$M$7"</definedName>
    <definedName name="IQRL70" hidden="1">"$M$70"</definedName>
    <definedName name="IQRL71" hidden="1">"$M$71"</definedName>
    <definedName name="IQRL72" hidden="1">"$M$72"</definedName>
    <definedName name="IQRL73" hidden="1">"$M$73"</definedName>
    <definedName name="IQRL74" hidden="1">"$M$74"</definedName>
    <definedName name="IQRL75" hidden="1">"$M$75"</definedName>
    <definedName name="IQRL76" hidden="1">"$M$76"</definedName>
    <definedName name="IQRL77" hidden="1">"$M$77"</definedName>
    <definedName name="IQRL78" hidden="1">"$M$78"</definedName>
    <definedName name="IQRL79" hidden="1">"$M$79"</definedName>
    <definedName name="IQRL8" hidden="1">"$M$8"</definedName>
    <definedName name="IQRL80" hidden="1">"$M$80"</definedName>
    <definedName name="IQRL81" hidden="1">"$M$81"</definedName>
    <definedName name="IQRL82" hidden="1">"$M$82"</definedName>
    <definedName name="IQRL83" hidden="1">"$M$83"</definedName>
    <definedName name="IQRL84" hidden="1">"$M$84"</definedName>
    <definedName name="IQRL85" hidden="1">"$M$85"</definedName>
    <definedName name="IQRL86" hidden="1">"$M$86"</definedName>
    <definedName name="IQRL87" hidden="1">"$M$87"</definedName>
    <definedName name="IQRL88" hidden="1">"$M$88"</definedName>
    <definedName name="IQRL89" hidden="1">"$M$89"</definedName>
    <definedName name="IQRL9" hidden="1">"$M$9"</definedName>
    <definedName name="IQRL90" hidden="1">"$M$90"</definedName>
    <definedName name="IQRL91" hidden="1">"$M$91"</definedName>
    <definedName name="IQRL92" hidden="1">"$M$92"</definedName>
    <definedName name="IQRL93" hidden="1">"$M$93"</definedName>
    <definedName name="IQRL94" hidden="1">"$M$94"</definedName>
    <definedName name="IQRL95" hidden="1">"$M$95"</definedName>
    <definedName name="IQRL96" hidden="1">"$M$96"</definedName>
    <definedName name="IQRL97" hidden="1">"$M$97"</definedName>
    <definedName name="IQRL98" hidden="1">"$M$98"</definedName>
    <definedName name="IQRL99" hidden="1">"$M$99"</definedName>
    <definedName name="IQRM5" hidden="1">"$M$6:$M$12"</definedName>
    <definedName name="IQRN10" hidden="1">"$N$11"</definedName>
    <definedName name="IQRN12" hidden="1">"$O$12:$R$12"</definedName>
    <definedName name="IQRN5" hidden="1">"$N$6:$N$13"</definedName>
    <definedName name="IQRO5" hidden="1">"$O$6:$O$12"</definedName>
    <definedName name="IQRP5" hidden="1">"$P$6:$P$8"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Q10" hidden="1">"$R$10"</definedName>
    <definedName name="IQRQ100" hidden="1">"$R$100"</definedName>
    <definedName name="IQRQ101" hidden="1">"$R$101"</definedName>
    <definedName name="IQRQ102" hidden="1">"$R$102"</definedName>
    <definedName name="IQRQ103" hidden="1">"$R$103"</definedName>
    <definedName name="IQRQ104" hidden="1">"$R$104"</definedName>
    <definedName name="IQRQ105" hidden="1">"$R$105"</definedName>
    <definedName name="IQRQ106" hidden="1">"$R$106"</definedName>
    <definedName name="IQRQ107" hidden="1">"$R$107"</definedName>
    <definedName name="IQRQ108" hidden="1">"$R$108"</definedName>
    <definedName name="IQRQ109" hidden="1">"$R$109"</definedName>
    <definedName name="IQRQ11" hidden="1">"$R$11"</definedName>
    <definedName name="IQRQ110" hidden="1">"$R$110"</definedName>
    <definedName name="IQRQ111" hidden="1">"$R$111"</definedName>
    <definedName name="IQRQ112" hidden="1">"$R$112"</definedName>
    <definedName name="IQRQ113" hidden="1">"$R$113"</definedName>
    <definedName name="IQRQ114" hidden="1">"$R$114"</definedName>
    <definedName name="IQRQ115" hidden="1">"$R$115"</definedName>
    <definedName name="IQRQ116" hidden="1">"$R$116"</definedName>
    <definedName name="IQRQ117" hidden="1">"$R$117"</definedName>
    <definedName name="IQRQ118" hidden="1">"$R$118"</definedName>
    <definedName name="IQRQ119" hidden="1">"$R$119"</definedName>
    <definedName name="IQRQ12" hidden="1">"$R$12"</definedName>
    <definedName name="IQRQ120" hidden="1">"$R$120"</definedName>
    <definedName name="IQRQ121" hidden="1">"$R$121"</definedName>
    <definedName name="IQRQ122" hidden="1">"$R$122"</definedName>
    <definedName name="IQRQ123" hidden="1">"$R$123"</definedName>
    <definedName name="IQRQ124" hidden="1">"$R$124"</definedName>
    <definedName name="IQRQ125" hidden="1">"$R$125"</definedName>
    <definedName name="IQRQ126" hidden="1">"$R$126"</definedName>
    <definedName name="IQRQ127" hidden="1">"$R$127"</definedName>
    <definedName name="IQRQ128" hidden="1">"$R$128"</definedName>
    <definedName name="IQRQ129" hidden="1">"$R$129"</definedName>
    <definedName name="IQRQ13" hidden="1">"$R$13"</definedName>
    <definedName name="IQRQ130" hidden="1">"$R$130"</definedName>
    <definedName name="IQRQ131" hidden="1">"$R$131"</definedName>
    <definedName name="IQRQ132" hidden="1">"$R$132"</definedName>
    <definedName name="IQRQ133" hidden="1">"$R$133"</definedName>
    <definedName name="IQRQ134" hidden="1">"$R$134"</definedName>
    <definedName name="IQRQ135" hidden="1">"$R$135"</definedName>
    <definedName name="IQRQ136" hidden="1">"$R$136"</definedName>
    <definedName name="IQRQ137" hidden="1">"$R$137"</definedName>
    <definedName name="IQRQ138" hidden="1">"$R$138"</definedName>
    <definedName name="IQRQ139" hidden="1">"$R$139"</definedName>
    <definedName name="IQRQ14" hidden="1">"$R$14"</definedName>
    <definedName name="IQRQ140" hidden="1">"$R$140"</definedName>
    <definedName name="IQRQ141" hidden="1">"$R$141"</definedName>
    <definedName name="IQRQ142" hidden="1">"$R$142"</definedName>
    <definedName name="IQRQ143" hidden="1">"$R$143"</definedName>
    <definedName name="IQRQ144" hidden="1">"$R$144"</definedName>
    <definedName name="IQRQ145" hidden="1">"$R$145"</definedName>
    <definedName name="IQRQ146" hidden="1">"$R$146"</definedName>
    <definedName name="IQRQ147" hidden="1">"$R$147"</definedName>
    <definedName name="IQRQ148" hidden="1">"$R$148"</definedName>
    <definedName name="IQRQ149" hidden="1">"$R$149"</definedName>
    <definedName name="IQRQ15" hidden="1">"$R$15"</definedName>
    <definedName name="IQRQ150" hidden="1">"$R$150"</definedName>
    <definedName name="IQRQ151" hidden="1">"$R$151"</definedName>
    <definedName name="IQRQ152" hidden="1">"$R$152"</definedName>
    <definedName name="IQRQ153" hidden="1">"$R$153"</definedName>
    <definedName name="IQRQ154" hidden="1">"$R$154"</definedName>
    <definedName name="IQRQ155" hidden="1">"$R$155"</definedName>
    <definedName name="IQRQ16" hidden="1">"$R$16"</definedName>
    <definedName name="IQRQ17" hidden="1">"$R$17"</definedName>
    <definedName name="IQRQ18" hidden="1">"$R$18"</definedName>
    <definedName name="IQRQ19" hidden="1">"$R$19"</definedName>
    <definedName name="IQRQ20" hidden="1">"$R$20"</definedName>
    <definedName name="IQRQ21" hidden="1">"$R$21"</definedName>
    <definedName name="IQRQ22" hidden="1">"$R$22"</definedName>
    <definedName name="IQRQ23" hidden="1">"$R$23"</definedName>
    <definedName name="IQRQ24" hidden="1">"$R$24"</definedName>
    <definedName name="IQRQ25" hidden="1">"$R$25"</definedName>
    <definedName name="IQRQ26" hidden="1">"$R$26"</definedName>
    <definedName name="IQRQ27" hidden="1">"$R$27"</definedName>
    <definedName name="IQRQ28" hidden="1">"$R$28"</definedName>
    <definedName name="IQRQ29" hidden="1">"$R$29"</definedName>
    <definedName name="IQRQ30" hidden="1">"$R$30"</definedName>
    <definedName name="IQRQ31" hidden="1">"$R$31"</definedName>
    <definedName name="IQRQ32" hidden="1">"$R$32"</definedName>
    <definedName name="IQRQ33" hidden="1">"$R$33"</definedName>
    <definedName name="IQRQ34" hidden="1">"$R$34"</definedName>
    <definedName name="IQRQ35" hidden="1">"$R$35"</definedName>
    <definedName name="IQRQ36" hidden="1">"$R$36"</definedName>
    <definedName name="IQRQ37" hidden="1">"$R$37"</definedName>
    <definedName name="IQRQ38" hidden="1">"$R$38"</definedName>
    <definedName name="IQRQ39" hidden="1">"$R$39"</definedName>
    <definedName name="IQRQ40" hidden="1">"$R$40"</definedName>
    <definedName name="IQRQ41" hidden="1">"$R$41"</definedName>
    <definedName name="IQRQ42" hidden="1">"$R$42"</definedName>
    <definedName name="IQRQ43" hidden="1">"$R$43"</definedName>
    <definedName name="IQRQ44" hidden="1">"$R$44"</definedName>
    <definedName name="IQRQ45" hidden="1">"$R$45"</definedName>
    <definedName name="IQRQ46" hidden="1">"$R$46"</definedName>
    <definedName name="IQRQ47" hidden="1">"$R$47"</definedName>
    <definedName name="IQRQ48" hidden="1">"$R$48"</definedName>
    <definedName name="IQRQ49" hidden="1">"$R$49"</definedName>
    <definedName name="IQRQ5" hidden="1">"$Q$6:$Q$9"</definedName>
    <definedName name="IQRQ50" hidden="1">"$R$50"</definedName>
    <definedName name="IQRQ51" hidden="1">"$R$51"</definedName>
    <definedName name="IQRQ52" hidden="1">"$R$52"</definedName>
    <definedName name="IQRQ53" hidden="1">"$R$53"</definedName>
    <definedName name="IQRQ54" hidden="1">"$R$54"</definedName>
    <definedName name="IQRQ55" hidden="1">"$R$55"</definedName>
    <definedName name="IQRQ56" hidden="1">"$R$56"</definedName>
    <definedName name="IQRQ57" hidden="1">"$R$57"</definedName>
    <definedName name="IQRQ58" hidden="1">"$R$58"</definedName>
    <definedName name="IQRQ59" hidden="1">"$R$59"</definedName>
    <definedName name="IQRQ6" hidden="1">"$R$6"</definedName>
    <definedName name="IQRQ60" hidden="1">"$R$60"</definedName>
    <definedName name="IQRQ61" hidden="1">"$R$61"</definedName>
    <definedName name="IQRQ62" hidden="1">"$R$62"</definedName>
    <definedName name="IQRQ63" hidden="1">"$R$63"</definedName>
    <definedName name="IQRQ64" hidden="1">"$R$64"</definedName>
    <definedName name="IQRQ65" hidden="1">"$R$65"</definedName>
    <definedName name="IQRQ66" hidden="1">"$R$66"</definedName>
    <definedName name="IQRQ67" hidden="1">"$R$67"</definedName>
    <definedName name="IQRQ68" hidden="1">"$R$68"</definedName>
    <definedName name="IQRQ69" hidden="1">"$R$69"</definedName>
    <definedName name="IQRQ7" hidden="1">"$R$7"</definedName>
    <definedName name="IQRQ70" hidden="1">"$R$70"</definedName>
    <definedName name="IQRQ71" hidden="1">"$R$71"</definedName>
    <definedName name="IQRQ72" hidden="1">"$R$72"</definedName>
    <definedName name="IQRQ73" hidden="1">"$R$73"</definedName>
    <definedName name="IQRQ74" hidden="1">"$R$74"</definedName>
    <definedName name="IQRQ75" hidden="1">"$R$75"</definedName>
    <definedName name="IQRQ76" hidden="1">"$R$76"</definedName>
    <definedName name="IQRQ77" hidden="1">"$R$77"</definedName>
    <definedName name="IQRQ78" hidden="1">"$R$78"</definedName>
    <definedName name="IQRQ79" hidden="1">"$R$79"</definedName>
    <definedName name="IQRQ8" hidden="1">"$R$8"</definedName>
    <definedName name="IQRQ80" hidden="1">"$R$80"</definedName>
    <definedName name="IQRQ81" hidden="1">"$R$81"</definedName>
    <definedName name="IQRQ82" hidden="1">"$R$82"</definedName>
    <definedName name="IQRQ83" hidden="1">"$R$83"</definedName>
    <definedName name="IQRQ84" hidden="1">"$R$84"</definedName>
    <definedName name="IQRQ85" hidden="1">"$R$85"</definedName>
    <definedName name="IQRQ86" hidden="1">"$R$86"</definedName>
    <definedName name="IQRQ87" hidden="1">"$R$87"</definedName>
    <definedName name="IQRQ88" hidden="1">"$R$88"</definedName>
    <definedName name="IQRQ89" hidden="1">"$R$89"</definedName>
    <definedName name="IQRQ9" hidden="1">"$R$9"</definedName>
    <definedName name="IQRQ90" hidden="1">"$R$90"</definedName>
    <definedName name="IQRQ91" hidden="1">"$R$91"</definedName>
    <definedName name="IQRQ92" hidden="1">"$R$92"</definedName>
    <definedName name="IQRQ93" hidden="1">"$R$93"</definedName>
    <definedName name="IQRQ94" hidden="1">"$R$94"</definedName>
    <definedName name="IQRQ95" hidden="1">"$R$95"</definedName>
    <definedName name="IQRQ96" hidden="1">"$R$96"</definedName>
    <definedName name="IQRQ97" hidden="1">"$R$97"</definedName>
    <definedName name="IQRQ98" hidden="1">"$R$98"</definedName>
    <definedName name="IQRQ99" hidden="1">"$R$99"</definedName>
    <definedName name="IQRR10" hidden="1">"$R$11"</definedName>
    <definedName name="IQRR11" hidden="1">"$R$12"</definedName>
    <definedName name="IQRR5" hidden="1">"$R$6:$R$14"</definedName>
    <definedName name="IQRR7" hidden="1">"$R$8"</definedName>
    <definedName name="IQRR8" hidden="1">"$R$9"</definedName>
    <definedName name="IQRR9" hidden="1">"$R$10"</definedName>
    <definedName name="IQRS5" hidden="1">"$S$6:$S$12"</definedName>
    <definedName name="IQRS6" hidden="1">"$S$7"</definedName>
    <definedName name="IQRS7" hidden="1">"$S$8"</definedName>
    <definedName name="IQRS8" hidden="1">"$S$9"</definedName>
    <definedName name="IQRS9" hidden="1">"$S$10"</definedName>
    <definedName name="IQRT10" hidden="1">"$T$11"</definedName>
    <definedName name="IQRT11" hidden="1">"$T$12"</definedName>
    <definedName name="IQRT5" hidden="1">"$T$6:$T$8"</definedName>
    <definedName name="IQRT6" hidden="1">"$T$7"</definedName>
    <definedName name="IQRT7" hidden="1">"$T$8"</definedName>
    <definedName name="IQRT8" hidden="1">"$T$9"</definedName>
    <definedName name="IQRT9" hidden="1">"$T$10"</definedName>
    <definedName name="IQRU5" hidden="1">"$U$6:$U$7"</definedName>
    <definedName name="IQRV5" hidden="1">"$V$6:$V$14"</definedName>
    <definedName name="IQRVWAPA12" hidden="1">#REF!</definedName>
    <definedName name="IQRW5" hidden="1">"$W$6:$W$10"</definedName>
    <definedName name="IQRX5" hidden="1">"$X$6:$X$9"</definedName>
    <definedName name="IQRY5" hidden="1">"$Y$6:$Y$8"</definedName>
    <definedName name="IQRZ5" hidden="1">"$Z$6:$Z$8"</definedName>
    <definedName name="Months">{"January","February","March","April","May","June","July","August","September","October","November","December"}</definedName>
    <definedName name="_xlnm.Print_Area" localSheetId="2">'Advisor A'!$B$2:$K$100</definedName>
    <definedName name="_xlnm.Print_Area" localSheetId="3">'Advisor B'!$B$2:$K$104</definedName>
    <definedName name="_xlnm.Print_Area" localSheetId="4">'Advisor C'!$B$2:$K$102</definedName>
    <definedName name="_xlnm.Print_Area" localSheetId="1">Buyer!$B$2:$K$101</definedName>
    <definedName name="_xlnm.Print_Area" localSheetId="0">Overview!$B$2:$M$85</definedName>
    <definedName name="_xlnm.Print_Titles" localSheetId="2">'Advisor A'!$2:$4</definedName>
    <definedName name="_xlnm.Print_Titles" localSheetId="3">'Advisor B'!$2:$4</definedName>
    <definedName name="_xlnm.Print_Titles" localSheetId="4">'Advisor C'!$2:$4</definedName>
    <definedName name="_xlnm.Print_Titles" localSheetId="1">Buyer!$2:$4</definedName>
    <definedName name="_xlnm.Print_Titles" localSheetId="0">Overview!$2:$4</definedName>
    <definedName name="Project">Overview!$B$2</definedName>
    <definedName name="WeekdayOption">MATCH(WeekStart,Weekdays,0)+10</definedName>
    <definedName name="Weekdays">{"Monday","Tuesday","Wednesday","Thursday","Friday","Saturday","Sunday"}</definedName>
    <definedName name="WeekStartValue">IF(WeekStart="Monday",2,1)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2" l="1"/>
  <c r="B2" i="34"/>
  <c r="B2" i="30"/>
  <c r="B2" i="31"/>
  <c r="J69" i="5"/>
  <c r="J52" i="5"/>
  <c r="J35" i="5"/>
  <c r="J18" i="5"/>
  <c r="B6" i="34" l="1"/>
  <c r="B7" i="34"/>
  <c r="B8" i="34"/>
  <c r="B9" i="34"/>
  <c r="B10" i="34"/>
  <c r="B12" i="34" s="1"/>
  <c r="B11" i="34"/>
  <c r="B6" i="32"/>
  <c r="B6" i="31"/>
  <c r="B7" i="31"/>
  <c r="B8" i="31"/>
  <c r="B9" i="31"/>
  <c r="B6" i="30"/>
  <c r="B7" i="30"/>
  <c r="B8" i="30"/>
  <c r="B9" i="30"/>
  <c r="B10" i="30"/>
  <c r="M3" i="5"/>
  <c r="B9" i="5"/>
  <c r="M78" i="5"/>
  <c r="L25" i="5"/>
  <c r="D58" i="5"/>
  <c r="D25" i="5"/>
  <c r="F23" i="5"/>
  <c r="M59" i="5"/>
  <c r="M79" i="5"/>
  <c r="L26" i="5"/>
  <c r="D24" i="5"/>
  <c r="M58" i="5"/>
  <c r="D29" i="5"/>
  <c r="J56" i="5"/>
  <c r="M63" i="5"/>
  <c r="J62" i="5"/>
  <c r="J29" i="5"/>
  <c r="K24" i="5"/>
  <c r="L71" i="5"/>
  <c r="M60" i="5"/>
  <c r="L73" i="5"/>
  <c r="K58" i="5"/>
  <c r="D23" i="5"/>
  <c r="K61" i="5"/>
  <c r="L23" i="5"/>
  <c r="F26" i="5"/>
  <c r="F22" i="5"/>
  <c r="L24" i="5"/>
  <c r="M39" i="5"/>
  <c r="L58" i="5"/>
  <c r="M25" i="5"/>
  <c r="F28" i="5"/>
  <c r="K25" i="5"/>
  <c r="K22" i="5"/>
  <c r="L76" i="5"/>
  <c r="F41" i="5"/>
  <c r="E26" i="5"/>
  <c r="E74" i="5"/>
  <c r="M45" i="5"/>
  <c r="D20" i="5"/>
  <c r="D75" i="5"/>
  <c r="E40" i="5"/>
  <c r="M56" i="5"/>
  <c r="J55" i="5"/>
  <c r="J57" i="5"/>
  <c r="M72" i="5"/>
  <c r="L74" i="5"/>
  <c r="J77" i="5"/>
  <c r="M46" i="5"/>
  <c r="L20" i="5"/>
  <c r="F25" i="5"/>
  <c r="J23" i="5"/>
  <c r="M77" i="5"/>
  <c r="K79" i="5"/>
  <c r="M20" i="5"/>
  <c r="K55" i="5"/>
  <c r="L46" i="5"/>
  <c r="K44" i="5"/>
  <c r="L45" i="5"/>
  <c r="J58" i="5"/>
  <c r="K63" i="5"/>
  <c r="M22" i="5"/>
  <c r="L38" i="5"/>
  <c r="K46" i="5"/>
  <c r="J20" i="5"/>
  <c r="L27" i="5"/>
  <c r="M54" i="5"/>
  <c r="E24" i="5"/>
  <c r="M75" i="5"/>
  <c r="J24" i="5"/>
  <c r="J37" i="5"/>
  <c r="D40" i="5"/>
  <c r="M23" i="5"/>
  <c r="J75" i="5"/>
  <c r="M21" i="5"/>
  <c r="K29" i="5"/>
  <c r="G29" i="5"/>
  <c r="E75" i="5"/>
  <c r="M41" i="5"/>
  <c r="M73" i="5"/>
  <c r="K76" i="5"/>
  <c r="M42" i="5"/>
  <c r="M57" i="5"/>
  <c r="E25" i="5"/>
  <c r="J80" i="5"/>
  <c r="J60" i="5"/>
  <c r="G26" i="5"/>
  <c r="J27" i="5"/>
  <c r="J22" i="5"/>
  <c r="M40" i="5"/>
  <c r="L21" i="5"/>
  <c r="J71" i="5"/>
  <c r="M74" i="5"/>
  <c r="J54" i="5"/>
  <c r="E27" i="5"/>
  <c r="J79" i="5"/>
  <c r="L80" i="5"/>
  <c r="E41" i="5"/>
  <c r="M24" i="5"/>
  <c r="L43" i="5"/>
  <c r="K20" i="5"/>
  <c r="K60" i="5"/>
  <c r="L40" i="5"/>
  <c r="L37" i="5"/>
  <c r="K73" i="5"/>
  <c r="L63" i="5"/>
  <c r="K57" i="5"/>
  <c r="M76" i="5"/>
  <c r="J72" i="5"/>
  <c r="K77" i="5"/>
  <c r="J78" i="5"/>
  <c r="E58" i="5"/>
  <c r="K42" i="5"/>
  <c r="J44" i="5"/>
  <c r="K56" i="5"/>
  <c r="F58" i="5"/>
  <c r="M44" i="5"/>
  <c r="L62" i="5"/>
  <c r="J38" i="5"/>
  <c r="G58" i="5"/>
  <c r="K40" i="5"/>
  <c r="J45" i="5"/>
  <c r="E29" i="5"/>
  <c r="F40" i="5"/>
  <c r="D41" i="5"/>
  <c r="L41" i="5"/>
  <c r="E59" i="5"/>
  <c r="J74" i="5"/>
  <c r="M55" i="5"/>
  <c r="K28" i="5"/>
  <c r="J25" i="5"/>
  <c r="D59" i="5"/>
  <c r="E22" i="5"/>
  <c r="M61" i="5"/>
  <c r="M43" i="5"/>
  <c r="G40" i="5"/>
  <c r="L42" i="5"/>
  <c r="M26" i="5"/>
  <c r="J59" i="5"/>
  <c r="K38" i="5"/>
  <c r="M80" i="5"/>
  <c r="L55" i="5"/>
  <c r="K62" i="5"/>
  <c r="E23" i="5"/>
  <c r="D26" i="5"/>
  <c r="K54" i="5"/>
  <c r="M38" i="5"/>
  <c r="L22" i="5"/>
  <c r="J61" i="5"/>
  <c r="K74" i="5"/>
  <c r="G74" i="5"/>
  <c r="G75" i="5"/>
  <c r="M37" i="5"/>
  <c r="J76" i="5"/>
  <c r="G27" i="5"/>
  <c r="K37" i="5"/>
  <c r="M71" i="5"/>
  <c r="G24" i="5"/>
  <c r="L72" i="5"/>
  <c r="F24" i="5"/>
  <c r="E28" i="5"/>
  <c r="G25" i="5"/>
  <c r="G28" i="5"/>
  <c r="J26" i="5"/>
  <c r="F75" i="5"/>
  <c r="L57" i="5"/>
  <c r="L29" i="5"/>
  <c r="L78" i="5"/>
  <c r="J73" i="5"/>
  <c r="M27" i="5"/>
  <c r="L44" i="5"/>
  <c r="K59" i="5"/>
  <c r="K21" i="5"/>
  <c r="L60" i="5"/>
  <c r="G23" i="5"/>
  <c r="D22" i="5"/>
  <c r="K72" i="5"/>
  <c r="L61" i="5"/>
  <c r="J39" i="5"/>
  <c r="F59" i="5"/>
  <c r="J63" i="5"/>
  <c r="J43" i="5"/>
  <c r="D21" i="5"/>
  <c r="K41" i="5"/>
  <c r="L56" i="5"/>
  <c r="G59" i="5"/>
  <c r="L54" i="5"/>
  <c r="M28" i="5"/>
  <c r="K27" i="5"/>
  <c r="J28" i="5"/>
  <c r="K71" i="5"/>
  <c r="K43" i="5"/>
  <c r="K39" i="5"/>
  <c r="K23" i="5"/>
  <c r="M62" i="5"/>
  <c r="J46" i="5"/>
  <c r="D27" i="5"/>
  <c r="L39" i="5"/>
  <c r="K26" i="5"/>
  <c r="F74" i="5"/>
  <c r="F29" i="5"/>
  <c r="F27" i="5"/>
  <c r="K45" i="5"/>
  <c r="D28" i="5"/>
  <c r="J21" i="5"/>
  <c r="J42" i="5"/>
  <c r="D74" i="5"/>
  <c r="K75" i="5"/>
  <c r="J41" i="5"/>
  <c r="L75" i="5"/>
  <c r="L77" i="5"/>
  <c r="K78" i="5"/>
  <c r="M29" i="5"/>
  <c r="L79" i="5"/>
  <c r="G41" i="5"/>
  <c r="L59" i="5"/>
  <c r="G22" i="5"/>
  <c r="J40" i="5"/>
  <c r="L28" i="5"/>
  <c r="K80" i="5"/>
  <c r="C58" i="5" l="1"/>
  <c r="H58" i="5" s="1"/>
  <c r="C40" i="5"/>
  <c r="H40" i="5" s="1"/>
  <c r="C27" i="5"/>
  <c r="H27" i="5" s="1"/>
  <c r="C22" i="5"/>
  <c r="H22" i="5" s="1"/>
  <c r="C74" i="5"/>
  <c r="H74" i="5" s="1"/>
  <c r="C26" i="5"/>
  <c r="H26" i="5" s="1"/>
  <c r="C24" i="5"/>
  <c r="H24" i="5" s="1"/>
  <c r="C23" i="5"/>
  <c r="H23" i="5" s="1"/>
  <c r="C29" i="5"/>
  <c r="H29" i="5" s="1"/>
  <c r="C28" i="5"/>
  <c r="H28" i="5" s="1"/>
  <c r="C59" i="5"/>
  <c r="H59" i="5" s="1"/>
  <c r="C75" i="5"/>
  <c r="H75" i="5" s="1"/>
  <c r="C41" i="5"/>
  <c r="H41" i="5" s="1"/>
  <c r="C25" i="5"/>
  <c r="H25" i="5" s="1"/>
  <c r="B10" i="31"/>
  <c r="B13" i="34"/>
  <c r="B11" i="30"/>
  <c r="B12" i="30"/>
  <c r="B7" i="32"/>
  <c r="B8" i="32"/>
  <c r="B9" i="32"/>
  <c r="D30" i="5"/>
  <c r="D9" i="5" s="1"/>
  <c r="E20" i="5"/>
  <c r="E21" i="5"/>
  <c r="B13" i="30" l="1"/>
  <c r="B11" i="31"/>
  <c r="B12" i="31"/>
  <c r="B10" i="32"/>
  <c r="B11" i="32"/>
  <c r="B14" i="30"/>
  <c r="B14" i="34"/>
  <c r="E30" i="5"/>
  <c r="E9" i="5" s="1"/>
  <c r="F20" i="5"/>
  <c r="F21" i="5"/>
  <c r="B15" i="34" l="1"/>
  <c r="B17" i="34"/>
  <c r="B12" i="32"/>
  <c r="B16" i="34"/>
  <c r="B13" i="31"/>
  <c r="B15" i="30"/>
  <c r="F30" i="5"/>
  <c r="F9" i="5" s="1"/>
  <c r="G20" i="5"/>
  <c r="G21" i="5"/>
  <c r="B16" i="31" l="1"/>
  <c r="B19" i="34"/>
  <c r="B15" i="31"/>
  <c r="B20" i="34"/>
  <c r="B18" i="34"/>
  <c r="B13" i="32"/>
  <c r="B16" i="30"/>
  <c r="B14" i="32"/>
  <c r="B14" i="31"/>
  <c r="G30" i="5"/>
  <c r="G9" i="5" s="1"/>
  <c r="C9" i="5" l="1"/>
  <c r="H9" i="5" s="1"/>
  <c r="B16" i="32"/>
  <c r="B18" i="31"/>
  <c r="B17" i="30"/>
  <c r="B15" i="32"/>
  <c r="B17" i="31"/>
  <c r="B21" i="34"/>
  <c r="J30" i="5"/>
  <c r="J9" i="5" s="1"/>
  <c r="B22" i="34" l="1"/>
  <c r="B19" i="30"/>
  <c r="B20" i="30" s="1"/>
  <c r="B18" i="30"/>
  <c r="B17" i="32"/>
  <c r="B19" i="31"/>
  <c r="B21" i="30"/>
  <c r="B22" i="30" s="1"/>
  <c r="B23" i="30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K30" i="5"/>
  <c r="K9" i="5" s="1"/>
  <c r="B18" i="32" l="1"/>
  <c r="B23" i="34"/>
  <c r="B34" i="30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78" i="30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65" i="30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20" i="31"/>
  <c r="L30" i="5"/>
  <c r="L9" i="5" s="1"/>
  <c r="B33" i="32" l="1"/>
  <c r="B29" i="34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24" i="34"/>
  <c r="B25" i="34" s="1"/>
  <c r="B26" i="34" s="1"/>
  <c r="B27" i="34" s="1"/>
  <c r="B28" i="34" s="1"/>
  <c r="B19" i="32"/>
  <c r="B20" i="32" s="1"/>
  <c r="B21" i="32" s="1"/>
  <c r="B22" i="32" s="1"/>
  <c r="B23" i="32" s="1"/>
  <c r="B24" i="32" s="1"/>
  <c r="B25" i="32" s="1"/>
  <c r="B26" i="32" s="1"/>
  <c r="B27" i="32" s="1"/>
  <c r="B28" i="32"/>
  <c r="B29" i="32" s="1"/>
  <c r="B30" i="32" s="1"/>
  <c r="B31" i="32" s="1"/>
  <c r="B21" i="3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/>
  <c r="B45" i="31" s="1"/>
  <c r="B46" i="31" s="1"/>
  <c r="B47" i="31" s="1"/>
  <c r="B48" i="31" s="1"/>
  <c r="B49" i="31" s="1"/>
  <c r="B50" i="31" s="1"/>
  <c r="B51" i="3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32" i="32"/>
  <c r="B34" i="32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M30" i="5"/>
  <c r="M9" i="5" s="1"/>
  <c r="B10" i="5"/>
  <c r="D39" i="5"/>
  <c r="D43" i="5"/>
  <c r="D44" i="5"/>
  <c r="D37" i="5"/>
  <c r="D42" i="5"/>
  <c r="D38" i="5"/>
  <c r="D46" i="5"/>
  <c r="D45" i="5"/>
  <c r="B73" i="31" l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D47" i="5"/>
  <c r="D10" i="5" s="1"/>
  <c r="E37" i="5"/>
  <c r="G44" i="5"/>
  <c r="F42" i="5"/>
  <c r="G39" i="5"/>
  <c r="E46" i="5"/>
  <c r="G37" i="5"/>
  <c r="F45" i="5"/>
  <c r="F46" i="5"/>
  <c r="F37" i="5"/>
  <c r="E44" i="5"/>
  <c r="E45" i="5"/>
  <c r="E38" i="5"/>
  <c r="G43" i="5"/>
  <c r="F43" i="5"/>
  <c r="G38" i="5"/>
  <c r="G45" i="5"/>
  <c r="E43" i="5"/>
  <c r="E42" i="5"/>
  <c r="G42" i="5"/>
  <c r="E39" i="5"/>
  <c r="F44" i="5"/>
  <c r="G46" i="5"/>
  <c r="F38" i="5"/>
  <c r="F39" i="5"/>
  <c r="G47" i="5" l="1"/>
  <c r="G10" i="5" s="1"/>
  <c r="F47" i="5"/>
  <c r="F10" i="5" s="1"/>
  <c r="E47" i="5"/>
  <c r="E10" i="5" s="1"/>
  <c r="J47" i="5"/>
  <c r="J10" i="5" s="1"/>
  <c r="K47" i="5"/>
  <c r="K10" i="5" s="1"/>
  <c r="L47" i="5"/>
  <c r="L10" i="5" s="1"/>
  <c r="M47" i="5"/>
  <c r="M10" i="5" s="1"/>
  <c r="B11" i="5"/>
  <c r="E54" i="5"/>
  <c r="F54" i="5"/>
  <c r="F63" i="5"/>
  <c r="E62" i="5"/>
  <c r="D63" i="5"/>
  <c r="F60" i="5"/>
  <c r="G60" i="5"/>
  <c r="D60" i="5"/>
  <c r="D57" i="5"/>
  <c r="G54" i="5"/>
  <c r="D55" i="5"/>
  <c r="F61" i="5"/>
  <c r="F55" i="5"/>
  <c r="D54" i="5"/>
  <c r="D56" i="5"/>
  <c r="E60" i="5"/>
  <c r="G55" i="5"/>
  <c r="G63" i="5"/>
  <c r="E57" i="5"/>
  <c r="F57" i="5"/>
  <c r="E56" i="5"/>
  <c r="D61" i="5"/>
  <c r="E63" i="5"/>
  <c r="E61" i="5"/>
  <c r="G62" i="5"/>
  <c r="G56" i="5"/>
  <c r="F62" i="5"/>
  <c r="F56" i="5"/>
  <c r="G57" i="5"/>
  <c r="G61" i="5"/>
  <c r="D62" i="5"/>
  <c r="E55" i="5"/>
  <c r="G64" i="5" l="1"/>
  <c r="G11" i="5" s="1"/>
  <c r="F64" i="5"/>
  <c r="F11" i="5" s="1"/>
  <c r="E64" i="5"/>
  <c r="E11" i="5" s="1"/>
  <c r="D64" i="5"/>
  <c r="D11" i="5" s="1"/>
  <c r="C10" i="5"/>
  <c r="H10" i="5" s="1"/>
  <c r="J64" i="5"/>
  <c r="J11" i="5" s="1"/>
  <c r="K64" i="5"/>
  <c r="K11" i="5" s="1"/>
  <c r="L64" i="5"/>
  <c r="L11" i="5" s="1"/>
  <c r="M64" i="5"/>
  <c r="M11" i="5" s="1"/>
  <c r="B12" i="5"/>
  <c r="D71" i="5"/>
  <c r="G71" i="5"/>
  <c r="G73" i="5"/>
  <c r="D73" i="5"/>
  <c r="E76" i="5"/>
  <c r="F72" i="5"/>
  <c r="F79" i="5"/>
  <c r="D79" i="5"/>
  <c r="E77" i="5"/>
  <c r="E72" i="5"/>
  <c r="E73" i="5"/>
  <c r="F73" i="5"/>
  <c r="G79" i="5"/>
  <c r="E79" i="5"/>
  <c r="D80" i="5"/>
  <c r="D76" i="5"/>
  <c r="G77" i="5"/>
  <c r="F71" i="5"/>
  <c r="G72" i="5"/>
  <c r="E78" i="5"/>
  <c r="F80" i="5"/>
  <c r="G78" i="5"/>
  <c r="E71" i="5"/>
  <c r="F77" i="5"/>
  <c r="D72" i="5"/>
  <c r="D77" i="5"/>
  <c r="F78" i="5"/>
  <c r="G80" i="5"/>
  <c r="E80" i="5"/>
  <c r="D78" i="5"/>
  <c r="F76" i="5"/>
  <c r="G76" i="5"/>
  <c r="C11" i="5" l="1"/>
  <c r="H11" i="5" s="1"/>
  <c r="F81" i="5"/>
  <c r="F12" i="5" s="1"/>
  <c r="G81" i="5"/>
  <c r="G12" i="5" s="1"/>
  <c r="D81" i="5"/>
  <c r="D12" i="5" s="1"/>
  <c r="E81" i="5"/>
  <c r="E12" i="5" s="1"/>
  <c r="J81" i="5"/>
  <c r="J12" i="5" s="1"/>
  <c r="K81" i="5"/>
  <c r="K12" i="5" s="1"/>
  <c r="L81" i="5"/>
  <c r="L12" i="5" s="1"/>
  <c r="M81" i="5"/>
  <c r="M12" i="5" s="1"/>
  <c r="C12" i="5" l="1"/>
  <c r="H12" i="5" s="1"/>
  <c r="E13" i="5" l="1"/>
  <c r="D13" i="5"/>
  <c r="J13" i="5"/>
  <c r="K13" i="5"/>
  <c r="L13" i="5"/>
  <c r="M13" i="5"/>
  <c r="C20" i="5"/>
  <c r="H20" i="5" s="1"/>
  <c r="C21" i="5"/>
  <c r="H21" i="5" s="1"/>
  <c r="C37" i="5"/>
  <c r="H37" i="5" s="1"/>
  <c r="C38" i="5"/>
  <c r="H38" i="5" s="1"/>
  <c r="C39" i="5"/>
  <c r="H39" i="5" s="1"/>
  <c r="C42" i="5"/>
  <c r="H42" i="5" s="1"/>
  <c r="C43" i="5"/>
  <c r="H43" i="5" s="1"/>
  <c r="C44" i="5"/>
  <c r="H44" i="5" s="1"/>
  <c r="C45" i="5"/>
  <c r="H45" i="5" s="1"/>
  <c r="C46" i="5"/>
  <c r="H46" i="5" s="1"/>
  <c r="C54" i="5"/>
  <c r="H54" i="5" s="1"/>
  <c r="C55" i="5"/>
  <c r="H55" i="5" s="1"/>
  <c r="C56" i="5"/>
  <c r="H56" i="5" s="1"/>
  <c r="C57" i="5"/>
  <c r="H57" i="5" s="1"/>
  <c r="C60" i="5"/>
  <c r="H60" i="5" s="1"/>
  <c r="C61" i="5"/>
  <c r="H61" i="5" s="1"/>
  <c r="C62" i="5"/>
  <c r="H62" i="5" s="1"/>
  <c r="C63" i="5"/>
  <c r="H63" i="5" s="1"/>
  <c r="C71" i="5"/>
  <c r="H71" i="5" s="1"/>
  <c r="C72" i="5"/>
  <c r="H72" i="5" s="1"/>
  <c r="C73" i="5"/>
  <c r="H73" i="5" s="1"/>
  <c r="C76" i="5"/>
  <c r="H76" i="5" s="1"/>
  <c r="C77" i="5"/>
  <c r="H77" i="5" s="1"/>
  <c r="C78" i="5"/>
  <c r="H78" i="5" s="1"/>
  <c r="C79" i="5"/>
  <c r="H79" i="5" s="1"/>
  <c r="C80" i="5"/>
  <c r="H80" i="5" s="1"/>
  <c r="C13" i="5" l="1"/>
  <c r="G13" i="5"/>
  <c r="F13" i="5"/>
  <c r="C30" i="5"/>
  <c r="H30" i="5" s="1"/>
  <c r="C64" i="5"/>
  <c r="H64" i="5" s="1"/>
  <c r="C47" i="5"/>
  <c r="H47" i="5" s="1"/>
  <c r="C81" i="5"/>
  <c r="H81" i="5" s="1"/>
  <c r="H13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6B4060E6-C6A6-4053-914A-1C988A83ECCF}">
      <text>
        <r>
          <rPr>
            <sz val="8"/>
            <color indexed="81"/>
            <rFont val="Arial"/>
            <family val="2"/>
            <scheme val="minor"/>
          </rPr>
          <t>Input / modify categories in the Overview worksheet (column B, blue font) within respective section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813F8E6C-80B5-41BF-9A36-3D83858C00D3}">
      <text>
        <r>
          <rPr>
            <sz val="8"/>
            <color indexed="81"/>
            <rFont val="Arial"/>
            <family val="2"/>
            <scheme val="minor"/>
          </rPr>
          <t>Input / modify categories in the Overview worksheet (column B, blue font) within respective section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834B8B72-4A2B-4282-BD67-83262079E773}">
      <text>
        <r>
          <rPr>
            <sz val="8"/>
            <color indexed="81"/>
            <rFont val="Arial"/>
            <family val="2"/>
            <scheme val="minor"/>
          </rPr>
          <t>Input / modify categories in the Overview worksheet (column B, blue font) within respective section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7C04B23E-1CC1-4AC7-A249-CF34834EA61C}">
      <text>
        <r>
          <rPr>
            <sz val="8"/>
            <color indexed="81"/>
            <rFont val="Arial"/>
            <family val="2"/>
            <scheme val="minor"/>
          </rPr>
          <t>Input / modify categories in the Overview worksheet (column B, blue font) within respective section</t>
        </r>
      </text>
    </comment>
  </commentList>
</comments>
</file>

<file path=xl/sharedStrings.xml><?xml version="1.0" encoding="utf-8"?>
<sst xmlns="http://schemas.openxmlformats.org/spreadsheetml/2006/main" count="147" uniqueCount="29">
  <si>
    <t xml:space="preserve"> Project Beacon</t>
  </si>
  <si>
    <t>Request Overview by Buyer / Advisor</t>
  </si>
  <si>
    <t>Open + Partial Requests by Priority</t>
  </si>
  <si>
    <t>Total</t>
  </si>
  <si>
    <t>Open</t>
  </si>
  <si>
    <t>Partial</t>
  </si>
  <si>
    <t>Closed</t>
  </si>
  <si>
    <t>N/A</t>
  </si>
  <si>
    <t>% Closed</t>
  </si>
  <si>
    <t>Highest</t>
  </si>
  <si>
    <t>High</t>
  </si>
  <si>
    <t>Medium</t>
  </si>
  <si>
    <t>Low</t>
  </si>
  <si>
    <t>[Input category here]</t>
  </si>
  <si>
    <t>Advisor A</t>
  </si>
  <si>
    <t>Advisor B</t>
  </si>
  <si>
    <t>x</t>
  </si>
  <si>
    <t>Advisor C</t>
  </si>
  <si>
    <t xml:space="preserve">  #</t>
  </si>
  <si>
    <t>Date 
Requested</t>
  </si>
  <si>
    <t>Category</t>
  </si>
  <si>
    <t>Request / Question</t>
  </si>
  <si>
    <t>VDR 
Reference</t>
  </si>
  <si>
    <t>Priority</t>
  </si>
  <si>
    <t>Status</t>
  </si>
  <si>
    <t>Last Update</t>
  </si>
  <si>
    <t>Seller's Response</t>
  </si>
  <si>
    <t>Buyer's Follow-Up Comments</t>
  </si>
  <si>
    <t>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</si>
</sst>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0%_);\(0%\);0%_);@_)"/>
    <numFmt numFmtId="166" formatCode="_(0_);_(0\);_(&quot;-&quot;_);_(@_)"/>
    <numFmt numFmtId="167" formatCode="dd"/>
  </numFmts>
  <fonts count="55" x14ac:knownFonts="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Arial"/>
      <family val="2"/>
      <scheme val="minor"/>
    </font>
    <font>
      <u/>
      <sz val="10"/>
      <color theme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FFFFFF"/>
      <name val="Arial"/>
      <family val="2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name val="Times New Roman"/>
      <family val="1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10"/>
      <color rgb="FF0000FF"/>
      <name val="Arial"/>
      <family val="2"/>
    </font>
    <font>
      <sz val="11"/>
      <name val="Arial"/>
      <family val="2"/>
      <scheme val="minor"/>
    </font>
    <font>
      <b/>
      <sz val="28"/>
      <color theme="0"/>
      <name val="Arial"/>
      <family val="2"/>
      <scheme val="major"/>
    </font>
    <font>
      <sz val="36"/>
      <color theme="4" tint="-0.24994659260841701"/>
      <name val="Arial"/>
      <family val="2"/>
      <scheme val="minor"/>
    </font>
    <font>
      <b/>
      <sz val="11"/>
      <color theme="0"/>
      <name val="Arial"/>
      <family val="2"/>
      <scheme val="major"/>
    </font>
    <font>
      <sz val="16"/>
      <color theme="1"/>
      <name val="Arial"/>
      <family val="2"/>
      <scheme val="minor"/>
    </font>
    <font>
      <sz val="11"/>
      <color theme="1"/>
      <name val="Arial"/>
      <family val="2"/>
      <scheme val="major"/>
    </font>
    <font>
      <sz val="10"/>
      <color theme="1"/>
      <name val="garamond"/>
      <family val="2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sz val="8"/>
      <color indexed="8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ck">
        <color theme="0"/>
      </right>
      <top/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 style="thin">
        <color auto="1"/>
      </bottom>
      <diagonal/>
    </border>
    <border>
      <left style="thick">
        <color theme="0"/>
      </left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ck">
        <color theme="0"/>
      </right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</borders>
  <cellStyleXfs count="610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11" fillId="23" borderId="7" applyNumberFormat="0" applyFont="0" applyAlignment="0" applyProtection="0"/>
    <xf numFmtId="0" fontId="26" fillId="20" borderId="8" applyNumberForma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32" fillId="0" borderId="0" applyFont="0" applyFill="0" applyBorder="0" applyAlignment="0" applyProtection="0"/>
    <xf numFmtId="0" fontId="36" fillId="0" borderId="0"/>
    <xf numFmtId="0" fontId="39" fillId="0" borderId="0"/>
    <xf numFmtId="0" fontId="43" fillId="0" borderId="0" applyFill="0" applyBorder="0" applyProtection="0"/>
    <xf numFmtId="0" fontId="11" fillId="0" borderId="0"/>
    <xf numFmtId="0" fontId="44" fillId="28" borderId="0" applyNumberFormat="0" applyBorder="0" applyProtection="0">
      <alignment horizontal="center"/>
    </xf>
    <xf numFmtId="0" fontId="45" fillId="0" borderId="0" applyNumberFormat="0" applyFill="0" applyProtection="0">
      <alignment horizontal="left" indent="3"/>
    </xf>
    <xf numFmtId="0" fontId="46" fillId="29" borderId="18" applyNumberFormat="0" applyProtection="0">
      <alignment horizontal="left" vertical="center" indent="1"/>
    </xf>
    <xf numFmtId="0" fontId="46" fillId="28" borderId="18" applyNumberFormat="0" applyProtection="0">
      <alignment horizontal="left" indent="1"/>
    </xf>
    <xf numFmtId="167" fontId="47" fillId="0" borderId="19" applyFill="0" applyProtection="0">
      <alignment horizontal="left" vertical="center" wrapText="1" indent="1"/>
    </xf>
    <xf numFmtId="167" fontId="48" fillId="0" borderId="20" applyFill="0" applyProtection="0">
      <alignment horizontal="left" vertical="top" wrapText="1" indent="1"/>
    </xf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1" fillId="0" borderId="0"/>
    <xf numFmtId="0" fontId="10" fillId="0" borderId="0"/>
    <xf numFmtId="0" fontId="1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9" fillId="0" borderId="0"/>
    <xf numFmtId="9" fontId="1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0" fillId="31" borderId="0" applyNumberFormat="0" applyBorder="0" applyAlignment="0" applyProtection="0"/>
    <xf numFmtId="0" fontId="51" fillId="32" borderId="0" applyNumberFormat="0" applyBorder="0" applyAlignment="0" applyProtection="0"/>
    <xf numFmtId="0" fontId="11" fillId="0" borderId="0"/>
    <xf numFmtId="0" fontId="5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1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wrapText="1"/>
    </xf>
    <xf numFmtId="0" fontId="34" fillId="0" borderId="0" xfId="0" applyFont="1"/>
    <xf numFmtId="0" fontId="11" fillId="0" borderId="0" xfId="0" applyFont="1" applyAlignment="1">
      <alignment vertical="center"/>
    </xf>
    <xf numFmtId="0" fontId="33" fillId="0" borderId="0" xfId="62" applyFont="1"/>
    <xf numFmtId="0" fontId="11" fillId="0" borderId="0" xfId="62" applyFont="1"/>
    <xf numFmtId="0" fontId="37" fillId="0" borderId="0" xfId="62" applyFont="1"/>
    <xf numFmtId="0" fontId="11" fillId="0" borderId="12" xfId="0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 wrapText="1"/>
    </xf>
    <xf numFmtId="0" fontId="34" fillId="0" borderId="0" xfId="0" applyFont="1" applyAlignment="1">
      <alignment horizontal="centerContinuous" vertical="center"/>
    </xf>
    <xf numFmtId="0" fontId="34" fillId="0" borderId="13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0" xfId="0" applyFont="1" applyBorder="1" applyAlignment="1">
      <alignment vertical="center"/>
    </xf>
    <xf numFmtId="41" fontId="11" fillId="0" borderId="11" xfId="0" applyNumberFormat="1" applyFont="1" applyBorder="1" applyAlignment="1">
      <alignment horizontal="center" vertical="center"/>
    </xf>
    <xf numFmtId="0" fontId="34" fillId="0" borderId="0" xfId="0" applyFont="1" applyAlignment="1">
      <alignment horizontal="right" vertical="center"/>
    </xf>
    <xf numFmtId="166" fontId="11" fillId="0" borderId="0" xfId="0" applyNumberFormat="1" applyFont="1" applyAlignment="1">
      <alignment horizontal="right" vertical="center" indent="2"/>
    </xf>
    <xf numFmtId="166" fontId="34" fillId="0" borderId="10" xfId="0" applyNumberFormat="1" applyFont="1" applyBorder="1" applyAlignment="1">
      <alignment horizontal="right" vertical="center" indent="2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0" borderId="17" xfId="0" applyFont="1" applyBorder="1" applyAlignment="1">
      <alignment horizontal="left" wrapText="1"/>
    </xf>
    <xf numFmtId="0" fontId="34" fillId="0" borderId="17" xfId="0" applyFont="1" applyBorder="1" applyAlignment="1">
      <alignment horizontal="left"/>
    </xf>
    <xf numFmtId="0" fontId="34" fillId="0" borderId="0" xfId="0" applyFont="1" applyAlignment="1">
      <alignment vertical="center"/>
    </xf>
    <xf numFmtId="0" fontId="35" fillId="0" borderId="0" xfId="0" applyFont="1"/>
    <xf numFmtId="0" fontId="40" fillId="25" borderId="0" xfId="62" applyFont="1" applyFill="1" applyAlignment="1">
      <alignment horizontal="left" vertical="center"/>
    </xf>
    <xf numFmtId="0" fontId="41" fillId="25" borderId="0" xfId="62" applyFont="1" applyFill="1"/>
    <xf numFmtId="0" fontId="40" fillId="25" borderId="0" xfId="62" applyFont="1" applyFill="1" applyAlignment="1">
      <alignment vertical="center"/>
    </xf>
    <xf numFmtId="0" fontId="35" fillId="25" borderId="0" xfId="62" applyFont="1" applyFill="1"/>
    <xf numFmtId="0" fontId="38" fillId="25" borderId="0" xfId="62" applyFont="1" applyFill="1" applyAlignment="1">
      <alignment horizontal="left" vertical="center"/>
    </xf>
    <xf numFmtId="0" fontId="38" fillId="25" borderId="0" xfId="62" applyFont="1" applyFill="1"/>
    <xf numFmtId="0" fontId="38" fillId="25" borderId="0" xfId="62" applyFont="1" applyFill="1" applyAlignment="1">
      <alignment vertical="center"/>
    </xf>
    <xf numFmtId="14" fontId="38" fillId="25" borderId="0" xfId="62" applyNumberFormat="1" applyFont="1" applyFill="1" applyAlignment="1">
      <alignment horizontal="right" vertical="center" indent="1"/>
    </xf>
    <xf numFmtId="0" fontId="34" fillId="26" borderId="10" xfId="0" applyFont="1" applyFill="1" applyBorder="1" applyAlignment="1">
      <alignment vertical="center"/>
    </xf>
    <xf numFmtId="0" fontId="35" fillId="24" borderId="16" xfId="0" applyFont="1" applyFill="1" applyBorder="1"/>
    <xf numFmtId="0" fontId="34" fillId="24" borderId="16" xfId="0" applyFont="1" applyFill="1" applyBorder="1" applyAlignment="1">
      <alignment horizontal="right" vertical="center"/>
    </xf>
    <xf numFmtId="0" fontId="34" fillId="27" borderId="16" xfId="0" applyFont="1" applyFill="1" applyBorder="1" applyAlignment="1">
      <alignment vertical="center"/>
    </xf>
    <xf numFmtId="0" fontId="34" fillId="27" borderId="16" xfId="0" applyFont="1" applyFill="1" applyBorder="1" applyAlignment="1">
      <alignment horizontal="right" vertical="center"/>
    </xf>
    <xf numFmtId="166" fontId="34" fillId="26" borderId="10" xfId="0" applyNumberFormat="1" applyFont="1" applyFill="1" applyBorder="1" applyAlignment="1">
      <alignment horizontal="right" vertical="center" indent="2"/>
    </xf>
    <xf numFmtId="0" fontId="11" fillId="27" borderId="16" xfId="0" applyFont="1" applyFill="1" applyBorder="1"/>
    <xf numFmtId="0" fontId="11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42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37" fillId="0" borderId="0" xfId="62" applyFont="1" applyAlignment="1">
      <alignment horizontal="left" vertical="top" wrapText="1"/>
    </xf>
    <xf numFmtId="0" fontId="38" fillId="25" borderId="0" xfId="62" applyFont="1" applyFill="1" applyAlignment="1">
      <alignment horizontal="left" vertical="top" wrapText="1"/>
    </xf>
    <xf numFmtId="164" fontId="11" fillId="0" borderId="12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1" fillId="0" borderId="12" xfId="0" quotePrefix="1" applyFont="1" applyBorder="1" applyAlignment="1">
      <alignment horizontal="center" vertical="center" wrapText="1"/>
    </xf>
    <xf numFmtId="9" fontId="34" fillId="0" borderId="0" xfId="61" applyFont="1" applyAlignment="1">
      <alignment horizontal="center"/>
    </xf>
    <xf numFmtId="166" fontId="11" fillId="0" borderId="0" xfId="0" applyNumberFormat="1" applyFont="1" applyAlignment="1">
      <alignment horizontal="right" vertical="center" indent="1"/>
    </xf>
    <xf numFmtId="165" fontId="11" fillId="0" borderId="0" xfId="61" applyNumberFormat="1" applyFont="1" applyFill="1" applyAlignment="1">
      <alignment horizontal="right" vertical="center"/>
    </xf>
    <xf numFmtId="166" fontId="34" fillId="26" borderId="10" xfId="0" applyNumberFormat="1" applyFont="1" applyFill="1" applyBorder="1" applyAlignment="1">
      <alignment horizontal="right" vertical="center" indent="1"/>
    </xf>
    <xf numFmtId="165" fontId="34" fillId="26" borderId="10" xfId="61" applyNumberFormat="1" applyFont="1" applyFill="1" applyBorder="1" applyAlignment="1">
      <alignment horizontal="right" vertical="center"/>
    </xf>
    <xf numFmtId="165" fontId="11" fillId="0" borderId="0" xfId="61" applyNumberFormat="1" applyFont="1" applyAlignment="1">
      <alignment horizontal="right" vertical="center"/>
    </xf>
    <xf numFmtId="166" fontId="34" fillId="0" borderId="10" xfId="0" applyNumberFormat="1" applyFont="1" applyBorder="1" applyAlignment="1">
      <alignment horizontal="right" vertical="center" indent="1"/>
    </xf>
    <xf numFmtId="165" fontId="34" fillId="0" borderId="10" xfId="61" applyNumberFormat="1" applyFont="1" applyBorder="1" applyAlignment="1">
      <alignment horizontal="right" vertical="center"/>
    </xf>
    <xf numFmtId="0" fontId="52" fillId="0" borderId="0" xfId="0" applyFont="1"/>
    <xf numFmtId="0" fontId="52" fillId="0" borderId="0" xfId="62" applyFont="1"/>
    <xf numFmtId="0" fontId="52" fillId="0" borderId="0" xfId="63" applyFont="1"/>
    <xf numFmtId="0" fontId="53" fillId="30" borderId="16" xfId="0" quotePrefix="1" applyFont="1" applyFill="1" applyBorder="1" applyAlignment="1">
      <alignment vertical="center"/>
    </xf>
    <xf numFmtId="49" fontId="53" fillId="24" borderId="16" xfId="0" quotePrefix="1" applyNumberFormat="1" applyFont="1" applyFill="1" applyBorder="1" applyAlignment="1">
      <alignment vertical="center"/>
    </xf>
    <xf numFmtId="0" fontId="53" fillId="24" borderId="16" xfId="0" applyFont="1" applyFill="1" applyBorder="1" applyAlignment="1">
      <alignment vertical="center"/>
    </xf>
    <xf numFmtId="0" fontId="11" fillId="0" borderId="12" xfId="0" quotePrefix="1" applyFont="1" applyBorder="1" applyAlignment="1">
      <alignment horizontal="left" vertical="center" wrapText="1"/>
    </xf>
  </cellXfs>
  <cellStyles count="61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122" xr:uid="{162414E9-EF97-4767-8706-FB35BE96AA61}"/>
    <cellStyle name="Calculation" xfId="26" builtinId="22" customBuiltin="1"/>
    <cellStyle name="Check Cell" xfId="27" builtinId="23" customBuiltin="1"/>
    <cellStyle name="Comma 2" xfId="74" xr:uid="{2D19468C-8AC1-4DEB-A7D2-301C77B689DD}"/>
    <cellStyle name="Comma 2 2" xfId="82" xr:uid="{6E37CC3B-66D9-4B38-B01E-5BD1CAC77DA4}"/>
    <cellStyle name="Comma 2 3" xfId="86" xr:uid="{FE5E8A6A-1D23-4228-83D8-DDB3DCBDBD92}"/>
    <cellStyle name="Comma 2 3 2" xfId="96" xr:uid="{EFAFEDE9-2011-431C-87DE-6AB8EEE3DAE4}"/>
    <cellStyle name="Comma 2 3 2 2" xfId="117" xr:uid="{CABC62D6-8D0B-4A95-A083-BF0596F53A9A}"/>
    <cellStyle name="Comma 2 3 2 2 2" xfId="165" xr:uid="{B99CDAA3-B7AF-4D0E-831D-07BDC41ACAF2}"/>
    <cellStyle name="Comma 2 3 2 2 2 2" xfId="253" xr:uid="{08B64225-867D-403C-9C74-27D81C633982}"/>
    <cellStyle name="Comma 2 3 2 2 2 2 2" xfId="429" xr:uid="{42FB49E6-B0AA-410F-AFCF-04785F67D448}"/>
    <cellStyle name="Comma 2 3 2 2 2 2 3" xfId="605" xr:uid="{7247DE40-6A33-40C0-AFF9-F97F991CE358}"/>
    <cellStyle name="Comma 2 3 2 2 2 3" xfId="341" xr:uid="{A93FBB8C-9250-4748-AC5A-822F48978F2F}"/>
    <cellStyle name="Comma 2 3 2 2 2 4" xfId="517" xr:uid="{B4363105-7624-459A-A83A-35972ADEEA15}"/>
    <cellStyle name="Comma 2 3 2 2 3" xfId="208" xr:uid="{0DBBED1F-B644-43E3-8B3C-89B462AD8FB7}"/>
    <cellStyle name="Comma 2 3 2 2 3 2" xfId="384" xr:uid="{6BA8FAED-4F93-49BB-B919-743564C110EA}"/>
    <cellStyle name="Comma 2 3 2 2 3 3" xfId="560" xr:uid="{EA7CDD82-0E3C-4CED-86CF-6FCA0623ED43}"/>
    <cellStyle name="Comma 2 3 2 2 4" xfId="296" xr:uid="{43EFD689-F3E4-4D5A-BE39-277F95B3FB84}"/>
    <cellStyle name="Comma 2 3 2 2 5" xfId="472" xr:uid="{EBBD6822-C5CF-4B8D-BD1D-B1FE091871FC}"/>
    <cellStyle name="Comma 2 3 2 3" xfId="144" xr:uid="{13DFAFDA-867F-4A37-AC85-068CC324202A}"/>
    <cellStyle name="Comma 2 3 2 3 2" xfId="232" xr:uid="{547A2D5D-B00B-46F9-9D11-B06B383FE2BB}"/>
    <cellStyle name="Comma 2 3 2 3 2 2" xfId="408" xr:uid="{B64A9712-1CB5-4A11-BFFC-0FF4520E1B72}"/>
    <cellStyle name="Comma 2 3 2 3 2 3" xfId="584" xr:uid="{58DDEDE6-A255-4445-8DC4-49909FC90651}"/>
    <cellStyle name="Comma 2 3 2 3 3" xfId="320" xr:uid="{2C4DFAF4-5C06-4890-847F-75FBE3187F2B}"/>
    <cellStyle name="Comma 2 3 2 3 4" xfId="496" xr:uid="{76BECEBA-DA10-4843-B9B8-9B5DA6588508}"/>
    <cellStyle name="Comma 2 3 2 4" xfId="187" xr:uid="{CC0D97D0-8DD8-488C-9F8C-23CB6988C60B}"/>
    <cellStyle name="Comma 2 3 2 4 2" xfId="363" xr:uid="{429BE0F9-CDA0-4867-9103-3CD912BDE478}"/>
    <cellStyle name="Comma 2 3 2 4 3" xfId="539" xr:uid="{6E29BA36-703B-4E32-80E1-74DDFF0C18A8}"/>
    <cellStyle name="Comma 2 3 2 5" xfId="275" xr:uid="{97916E8E-7E51-4359-85B7-A49652FE8F57}"/>
    <cellStyle name="Comma 2 3 2 6" xfId="451" xr:uid="{0ADBC1B6-5FAF-4CDA-9646-8C2874B8045C}"/>
    <cellStyle name="Comma 2 3 3" xfId="107" xr:uid="{01FB19E9-633A-4A70-87E0-D2251ABA65F0}"/>
    <cellStyle name="Comma 2 3 3 2" xfId="155" xr:uid="{12B011E6-3679-4653-977F-4FE82F737748}"/>
    <cellStyle name="Comma 2 3 3 2 2" xfId="243" xr:uid="{F1184D31-F29B-4680-8996-4350BF1B97FB}"/>
    <cellStyle name="Comma 2 3 3 2 2 2" xfId="419" xr:uid="{14199D65-1D14-498D-B5D3-1F40034B90A2}"/>
    <cellStyle name="Comma 2 3 3 2 2 3" xfId="595" xr:uid="{B3DB480F-50EF-4DC7-946F-1EB2CEC748A7}"/>
    <cellStyle name="Comma 2 3 3 2 3" xfId="331" xr:uid="{5CBABF86-43AF-41BF-AAD2-1A24D3E22C62}"/>
    <cellStyle name="Comma 2 3 3 2 4" xfId="507" xr:uid="{FD9C13B9-FAED-4B14-978E-7398E468EE36}"/>
    <cellStyle name="Comma 2 3 3 3" xfId="198" xr:uid="{6204EAFE-E246-4F1A-9DCD-F89F959AE15C}"/>
    <cellStyle name="Comma 2 3 3 3 2" xfId="374" xr:uid="{B8D97660-1803-4730-BF2F-F5E25C89A716}"/>
    <cellStyle name="Comma 2 3 3 3 3" xfId="550" xr:uid="{682303ED-FD95-4545-9E98-C86A488CB878}"/>
    <cellStyle name="Comma 2 3 3 4" xfId="286" xr:uid="{E99B8AB0-B2A9-4B6F-BD70-44D7002CD7A6}"/>
    <cellStyle name="Comma 2 3 3 5" xfId="462" xr:uid="{AD018FA5-2897-4650-9E33-83946DFBB45A}"/>
    <cellStyle name="Comma 2 3 4" xfId="134" xr:uid="{EBD10E0B-1CF3-4A8B-861F-7B6643FF9C19}"/>
    <cellStyle name="Comma 2 3 4 2" xfId="222" xr:uid="{E79F9133-3519-4C45-9856-56D6E2D5FB8B}"/>
    <cellStyle name="Comma 2 3 4 2 2" xfId="398" xr:uid="{C2F84A0C-521C-4A0B-A02E-4CE64185EBDD}"/>
    <cellStyle name="Comma 2 3 4 2 3" xfId="574" xr:uid="{359A6DEB-6A54-4591-809C-1261DE499176}"/>
    <cellStyle name="Comma 2 3 4 3" xfId="310" xr:uid="{64B80BE3-3719-4571-B52A-2081671E1D79}"/>
    <cellStyle name="Comma 2 3 4 4" xfId="486" xr:uid="{4C1F33FD-85BC-4332-A951-CCB96E454AC6}"/>
    <cellStyle name="Comma 2 3 5" xfId="177" xr:uid="{3B70DE50-E0DD-4958-B49B-62898A6D1D93}"/>
    <cellStyle name="Comma 2 3 5 2" xfId="353" xr:uid="{C338C5EA-0042-4791-9D56-497C9BA80BCE}"/>
    <cellStyle name="Comma 2 3 5 3" xfId="529" xr:uid="{8B6EE949-8EEC-4544-9EEC-279E8A0B6CF4}"/>
    <cellStyle name="Comma 2 3 6" xfId="265" xr:uid="{D5AE86F1-8C10-438A-B952-A650E7C76243}"/>
    <cellStyle name="Comma 2 3 7" xfId="441" xr:uid="{AACAB13B-2705-4BF4-92D3-A06B90CEFFB4}"/>
    <cellStyle name="Comma 2 4" xfId="91" xr:uid="{0430EE7C-5D35-400D-AD57-994061EC4A88}"/>
    <cellStyle name="Comma 2 4 2" xfId="112" xr:uid="{0BCB55B1-D7AB-4524-BEF6-38DB85C57BE9}"/>
    <cellStyle name="Comma 2 4 2 2" xfId="160" xr:uid="{E8718F0A-E068-4105-89F6-CC0A9705C9F9}"/>
    <cellStyle name="Comma 2 4 2 2 2" xfId="248" xr:uid="{E269293F-8AB9-4E00-9B73-79E74B24F4E5}"/>
    <cellStyle name="Comma 2 4 2 2 2 2" xfId="424" xr:uid="{F2A7B1EC-4621-47C5-BFA9-BBA3D3A8BE8D}"/>
    <cellStyle name="Comma 2 4 2 2 2 3" xfId="600" xr:uid="{9DF377A1-57BA-4A4A-9921-C202FB6936EB}"/>
    <cellStyle name="Comma 2 4 2 2 3" xfId="336" xr:uid="{12967649-B04C-4806-B2FB-0430E5C359B7}"/>
    <cellStyle name="Comma 2 4 2 2 4" xfId="512" xr:uid="{F9FB5221-8929-4DEC-87B1-DB7B92F44619}"/>
    <cellStyle name="Comma 2 4 2 3" xfId="203" xr:uid="{D4DE5FEB-9EA7-4CDB-B3D7-0EAC83DA4D9B}"/>
    <cellStyle name="Comma 2 4 2 3 2" xfId="379" xr:uid="{23030563-F245-43A6-924E-C54D2C2C3615}"/>
    <cellStyle name="Comma 2 4 2 3 3" xfId="555" xr:uid="{EDF62494-7495-4FF6-9DD8-3876CC0A38D6}"/>
    <cellStyle name="Comma 2 4 2 4" xfId="291" xr:uid="{BE9160DF-96EE-4BA8-8172-1AF5E8DDD2DF}"/>
    <cellStyle name="Comma 2 4 2 5" xfId="467" xr:uid="{62C82AC4-01C6-4BBD-B3D7-3C4C75C2BD6E}"/>
    <cellStyle name="Comma 2 4 3" xfId="139" xr:uid="{1BF1F849-4823-49D4-99D4-43A99B372FFB}"/>
    <cellStyle name="Comma 2 4 3 2" xfId="227" xr:uid="{C9594E7F-ACAC-4EB9-A6A4-CC11D5FDD892}"/>
    <cellStyle name="Comma 2 4 3 2 2" xfId="403" xr:uid="{1FE791F2-1F71-43BF-8FFB-50C50CF5ACA4}"/>
    <cellStyle name="Comma 2 4 3 2 3" xfId="579" xr:uid="{49BAD226-5C54-4076-969A-C54A16F723F3}"/>
    <cellStyle name="Comma 2 4 3 3" xfId="315" xr:uid="{D70267A0-BE31-46CB-B6A3-E0E9F42C85E3}"/>
    <cellStyle name="Comma 2 4 3 4" xfId="491" xr:uid="{50E421FB-705F-4020-8259-814394A8ED1A}"/>
    <cellStyle name="Comma 2 4 4" xfId="182" xr:uid="{9CCEEC86-9CDA-4ACC-89FF-10C547E21204}"/>
    <cellStyle name="Comma 2 4 4 2" xfId="358" xr:uid="{D67A06D4-2CE5-4353-A41A-1917BF0DD677}"/>
    <cellStyle name="Comma 2 4 4 3" xfId="534" xr:uid="{61778347-6F8A-4458-B6BA-46D91E9784B3}"/>
    <cellStyle name="Comma 2 4 5" xfId="270" xr:uid="{0956AF2E-B3BC-42CA-8CF3-EB29DEEF3D4F}"/>
    <cellStyle name="Comma 2 4 6" xfId="446" xr:uid="{B1338186-2DDB-446A-88F4-EE6C8E982B57}"/>
    <cellStyle name="Comma 2 5" xfId="102" xr:uid="{9F40394B-8406-4508-8C7A-245C4C39D364}"/>
    <cellStyle name="Comma 2 5 2" xfId="150" xr:uid="{234C0A0C-8C18-4D85-B9E8-BA383EE7FC15}"/>
    <cellStyle name="Comma 2 5 2 2" xfId="238" xr:uid="{14009987-BBE2-4CCB-8D6C-356090D25953}"/>
    <cellStyle name="Comma 2 5 2 2 2" xfId="414" xr:uid="{1876EB0F-4306-4A78-A7CB-9DC1968B8080}"/>
    <cellStyle name="Comma 2 5 2 2 3" xfId="590" xr:uid="{BE2C0C84-98D4-467A-BA15-FE73F5C10724}"/>
    <cellStyle name="Comma 2 5 2 3" xfId="326" xr:uid="{812FDE59-5515-483D-BE15-80DB43276AA5}"/>
    <cellStyle name="Comma 2 5 2 4" xfId="502" xr:uid="{2EB9AFC2-900E-4B73-A9BA-BD53C4E480C3}"/>
    <cellStyle name="Comma 2 5 3" xfId="193" xr:uid="{A60C341C-6DD2-4043-8B66-32B506D4EAD6}"/>
    <cellStyle name="Comma 2 5 3 2" xfId="369" xr:uid="{A7B2EEFC-9ED2-40F2-93DC-164E9A4618BE}"/>
    <cellStyle name="Comma 2 5 3 3" xfId="545" xr:uid="{3E235240-B0DF-444B-A3A9-36ABD049E81F}"/>
    <cellStyle name="Comma 2 5 4" xfId="281" xr:uid="{FD4B7F31-40EE-4AA4-9579-E8D98B9E4EEF}"/>
    <cellStyle name="Comma 2 5 5" xfId="457" xr:uid="{8EFEB745-D82C-401D-9697-7AA5B6B3E6DC}"/>
    <cellStyle name="Comma 2 6" xfId="129" xr:uid="{16D9D879-E65C-4449-8273-D0B7E8081461}"/>
    <cellStyle name="Comma 2 6 2" xfId="217" xr:uid="{F2E4308D-11D9-44F8-AA56-204A51B34167}"/>
    <cellStyle name="Comma 2 6 2 2" xfId="393" xr:uid="{AA3029A9-B101-41A8-94A8-F89242725C5D}"/>
    <cellStyle name="Comma 2 6 2 3" xfId="569" xr:uid="{F393A0E9-1D8E-4B9A-98C4-CE177AACD301}"/>
    <cellStyle name="Comma 2 6 3" xfId="305" xr:uid="{DE2D26ED-19F8-4901-98A0-C76C835EE9B9}"/>
    <cellStyle name="Comma 2 6 4" xfId="481" xr:uid="{9AE3610D-AF14-4149-B9EA-5DC7CF079882}"/>
    <cellStyle name="Comma 2 7" xfId="172" xr:uid="{F03E1C8B-7BB2-4AAB-897C-7A9C99DF0D8F}"/>
    <cellStyle name="Comma 2 7 2" xfId="348" xr:uid="{FE752595-2E8A-46C0-B8E8-373015259444}"/>
    <cellStyle name="Comma 2 7 3" xfId="524" xr:uid="{AF5CCBED-DB7B-4BD9-8435-32C1DE51246B}"/>
    <cellStyle name="Comma 2 8" xfId="260" xr:uid="{288291D9-A712-4F9A-912A-7C1B7556397E}"/>
    <cellStyle name="Comma 2 9" xfId="436" xr:uid="{2A22BA53-5F14-41C5-BCB4-A9EDA12206B4}"/>
    <cellStyle name="Comma 3" xfId="80" xr:uid="{064973B5-64D7-4BB5-BA3D-4490C99B0B14}"/>
    <cellStyle name="Currency 2" xfId="78" xr:uid="{94AF9A22-50E5-4939-AD43-6A78A98B2210}"/>
    <cellStyle name="Day" xfId="70" xr:uid="{602C8904-C6D3-4613-9638-C17A53331B04}"/>
    <cellStyle name="Day Detail" xfId="71" xr:uid="{DE1BE63D-D955-48F0-814B-B6BC3690326E}"/>
    <cellStyle name="Explanatory Text" xfId="28" builtinId="53" customBuiltin="1"/>
    <cellStyle name="Followed Hyperlink" xfId="48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49" builtinId="9" hidden="1"/>
    <cellStyle name="Followed Hyperlink" xfId="45" builtinId="9" hidden="1"/>
    <cellStyle name="Followed Hyperlink" xfId="46" builtinId="9" hidden="1"/>
    <cellStyle name="Followed Hyperlink" xfId="44" builtinId="9" hidden="1"/>
    <cellStyle name="Followed Hyperlink" xfId="43" builtinId="9" hidden="1"/>
    <cellStyle name="Followed Hyperlink" xfId="47" builtinId="9" hidden="1"/>
    <cellStyle name="Followed Hyperlink" xfId="59" builtinId="9" hidden="1"/>
    <cellStyle name="Followed Hyperlink" xfId="60" builtinId="9" hidden="1"/>
    <cellStyle name="Followed Hyperlink" xfId="57" builtinId="9" hidden="1"/>
    <cellStyle name="Followed Hyperlink" xfId="53" builtinId="9" hidden="1"/>
    <cellStyle name="Followed Hyperlink" xfId="56" builtinId="9" hidden="1"/>
    <cellStyle name="Followed Hyperlink" xfId="58" builtinId="9" hidden="1"/>
    <cellStyle name="Followed Hyperlink" xfId="55" builtinId="9" hidden="1"/>
    <cellStyle name="Followed Hyperlink" xfId="54" builtinId="9" hidden="1"/>
    <cellStyle name="Good" xfId="29" builtinId="26" customBuiltin="1"/>
    <cellStyle name="Heading 1" xfId="30" builtinId="16" customBuiltin="1"/>
    <cellStyle name="Heading 1 4" xfId="67" xr:uid="{E3E9F506-5921-4E05-BCBE-A8CD8818B4E0}"/>
    <cellStyle name="Heading 2" xfId="31" builtinId="17" customBuiltin="1"/>
    <cellStyle name="Heading 2 4" xfId="68" xr:uid="{0F846C15-E400-4372-8868-B215A15F18B7}"/>
    <cellStyle name="Heading 3" xfId="32" builtinId="18" customBuiltin="1"/>
    <cellStyle name="Heading 3 3" xfId="69" xr:uid="{721F4EEE-1D8C-4FE6-AC86-A861A6C8BE53}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eutral 2" xfId="123" xr:uid="{958DEF06-6284-4C47-B85B-AB722F9B01E9}"/>
    <cellStyle name="Normal" xfId="0" builtinId="0"/>
    <cellStyle name="Normal 10" xfId="65" xr:uid="{B5A79F74-0344-4046-AFA9-93D0211A4964}"/>
    <cellStyle name="Normal 10 2 2" xfId="124" xr:uid="{A568A08E-0EED-4BB4-BA86-30B4784F0B64}"/>
    <cellStyle name="Normal 155" xfId="64" xr:uid="{AD902552-B1A5-4238-ADBE-466CFC7195EA}"/>
    <cellStyle name="Normal 2" xfId="42" xr:uid="{00000000-0005-0000-0000-000037000000}"/>
    <cellStyle name="Normal 2 10" xfId="434" xr:uid="{C5461FC8-1E60-4181-B0DD-ECD144EA289E}"/>
    <cellStyle name="Normal 2 2" xfId="77" xr:uid="{5458F810-0702-43F7-B7B5-47AB6D268C58}"/>
    <cellStyle name="Normal 2 2 2" xfId="88" xr:uid="{12B18E8F-748D-4B22-80C9-ABDE40721BCE}"/>
    <cellStyle name="Normal 2 2 2 2" xfId="98" xr:uid="{C1068FA9-2132-42C6-8AEF-44FA203B423E}"/>
    <cellStyle name="Normal 2 2 2 2 2" xfId="119" xr:uid="{9F5A0ED2-F7E5-4AFA-9760-0FFA8F5C2800}"/>
    <cellStyle name="Normal 2 2 2 2 2 2" xfId="167" xr:uid="{9EADEF57-F79B-428B-B4D4-1141D42A57B7}"/>
    <cellStyle name="Normal 2 2 2 2 2 2 2" xfId="255" xr:uid="{77B23101-15C5-462C-91A5-38803F706B4E}"/>
    <cellStyle name="Normal 2 2 2 2 2 2 2 2" xfId="431" xr:uid="{C8C71A42-DB32-42EC-BC5C-B3B204917865}"/>
    <cellStyle name="Normal 2 2 2 2 2 2 2 3" xfId="607" xr:uid="{2B5AFDB3-3AE0-43E8-8455-550BA102CBB7}"/>
    <cellStyle name="Normal 2 2 2 2 2 2 3" xfId="343" xr:uid="{A8AC301A-4D07-4EF1-9810-03BEED0E1AAD}"/>
    <cellStyle name="Normal 2 2 2 2 2 2 4" xfId="519" xr:uid="{09131023-19E2-4462-A418-C3DAD173BE76}"/>
    <cellStyle name="Normal 2 2 2 2 2 3" xfId="210" xr:uid="{95394D60-7A0B-4F58-A945-8862963F670C}"/>
    <cellStyle name="Normal 2 2 2 2 2 3 2" xfId="386" xr:uid="{8D29A34B-3AB7-4F3F-9421-51BB1BCFE7B5}"/>
    <cellStyle name="Normal 2 2 2 2 2 3 3" xfId="562" xr:uid="{98E93942-87E1-4B60-9CE4-DEBA89DDCDB9}"/>
    <cellStyle name="Normal 2 2 2 2 2 4" xfId="298" xr:uid="{B6F44396-C946-4E05-85C2-70D96D5A6F1D}"/>
    <cellStyle name="Normal 2 2 2 2 2 5" xfId="474" xr:uid="{D5A351AC-A043-442C-98E8-E9FBAE629C93}"/>
    <cellStyle name="Normal 2 2 2 2 3" xfId="146" xr:uid="{326A180F-3CBE-4DE9-9B53-BFFDC62E5F94}"/>
    <cellStyle name="Normal 2 2 2 2 3 2" xfId="234" xr:uid="{78EA6CDA-B7B1-4268-BB00-2BDB925E2290}"/>
    <cellStyle name="Normal 2 2 2 2 3 2 2" xfId="410" xr:uid="{761309D2-A4AF-49C5-A539-03F10C5670B7}"/>
    <cellStyle name="Normal 2 2 2 2 3 2 3" xfId="586" xr:uid="{76D819D8-0D6B-4233-9EFF-9C831727A48D}"/>
    <cellStyle name="Normal 2 2 2 2 3 3" xfId="322" xr:uid="{BF38D726-6EA6-4719-BCCE-D99BF1057028}"/>
    <cellStyle name="Normal 2 2 2 2 3 4" xfId="498" xr:uid="{00A39148-21FF-442C-89F0-5F0DF12CE5A4}"/>
    <cellStyle name="Normal 2 2 2 2 4" xfId="189" xr:uid="{EFCD8ED2-FB0F-4F89-85F6-83AA680E831D}"/>
    <cellStyle name="Normal 2 2 2 2 4 2" xfId="365" xr:uid="{CF40894C-B448-491D-83CA-47D1FF07DA1E}"/>
    <cellStyle name="Normal 2 2 2 2 4 3" xfId="541" xr:uid="{5223E15B-FCC4-45CB-BB4D-1ADCC6FC465E}"/>
    <cellStyle name="Normal 2 2 2 2 5" xfId="277" xr:uid="{518A27F6-E8AB-4D5F-A882-C9EB7187A58A}"/>
    <cellStyle name="Normal 2 2 2 2 6" xfId="453" xr:uid="{364CDF77-D107-4516-8782-EC3A142B2B35}"/>
    <cellStyle name="Normal 2 2 2 3" xfId="109" xr:uid="{ACEEBE95-76A5-4470-BD67-548594516942}"/>
    <cellStyle name="Normal 2 2 2 3 2" xfId="157" xr:uid="{60B08920-6380-4351-954B-F2B588C92345}"/>
    <cellStyle name="Normal 2 2 2 3 2 2" xfId="245" xr:uid="{88D2A04E-7A90-4402-BA57-F977ABED01DC}"/>
    <cellStyle name="Normal 2 2 2 3 2 2 2" xfId="421" xr:uid="{CD77776C-42E5-4E94-B0AC-C4CB9A3C9F38}"/>
    <cellStyle name="Normal 2 2 2 3 2 2 3" xfId="597" xr:uid="{6EE4F4CA-C3F9-4837-9FAB-2809604C157E}"/>
    <cellStyle name="Normal 2 2 2 3 2 3" xfId="333" xr:uid="{3CBB148E-82E3-4EF8-B232-AAC4AF640B5D}"/>
    <cellStyle name="Normal 2 2 2 3 2 4" xfId="509" xr:uid="{72DC5002-6A8E-4CB0-9FB4-CF38673DD419}"/>
    <cellStyle name="Normal 2 2 2 3 3" xfId="200" xr:uid="{2CD703B4-2E48-468D-9256-98A602488E6B}"/>
    <cellStyle name="Normal 2 2 2 3 3 2" xfId="376" xr:uid="{BF1343E1-7FF5-48EB-8FD9-695CF8C1D15B}"/>
    <cellStyle name="Normal 2 2 2 3 3 3" xfId="552" xr:uid="{00C79C87-DBFD-4D6B-8719-3E1844B2D420}"/>
    <cellStyle name="Normal 2 2 2 3 4" xfId="288" xr:uid="{5E5F2653-2C7E-410C-9681-9B50F791567B}"/>
    <cellStyle name="Normal 2 2 2 3 5" xfId="464" xr:uid="{3C7239EA-060D-4A71-85D0-BF3A2D44DDC1}"/>
    <cellStyle name="Normal 2 2 2 4" xfId="136" xr:uid="{7C222375-E639-4259-AE1D-2277F4FD7D5D}"/>
    <cellStyle name="Normal 2 2 2 4 2" xfId="224" xr:uid="{755ADCE1-0024-4511-BE85-B2FB3EED2A85}"/>
    <cellStyle name="Normal 2 2 2 4 2 2" xfId="400" xr:uid="{A76F234F-06D3-4338-B7A2-8D2CCAE9B557}"/>
    <cellStyle name="Normal 2 2 2 4 2 3" xfId="576" xr:uid="{689E234A-9DE6-4106-A3F0-8B4C1AE1467A}"/>
    <cellStyle name="Normal 2 2 2 4 3" xfId="312" xr:uid="{B3DA520D-66E9-4CD7-887B-6B98E671C309}"/>
    <cellStyle name="Normal 2 2 2 4 4" xfId="488" xr:uid="{F7DA6489-7406-44A8-9CEF-276622B866B2}"/>
    <cellStyle name="Normal 2 2 2 5" xfId="179" xr:uid="{E0D0046E-198B-410A-848A-DAC067F184AC}"/>
    <cellStyle name="Normal 2 2 2 5 2" xfId="355" xr:uid="{7FC9C7EB-9D30-44CB-B41A-436F4C9BFB4A}"/>
    <cellStyle name="Normal 2 2 2 5 3" xfId="531" xr:uid="{0B250ADC-193F-4572-BF92-A15198685D0D}"/>
    <cellStyle name="Normal 2 2 2 6" xfId="267" xr:uid="{FE3E891D-FE50-41A4-917B-60CC39A22EDE}"/>
    <cellStyle name="Normal 2 2 2 7" xfId="443" xr:uid="{1147C33B-1E19-4D35-8144-597A748D5B86}"/>
    <cellStyle name="Normal 2 2 3" xfId="93" xr:uid="{C203CF41-0500-4A93-90E7-FA33FABAEC97}"/>
    <cellStyle name="Normal 2 2 3 2" xfId="114" xr:uid="{AFE00F47-465A-4544-A158-31F46E3F7A52}"/>
    <cellStyle name="Normal 2 2 3 2 2" xfId="162" xr:uid="{DF7D6803-1276-4DDC-B6AA-09FE9F474D11}"/>
    <cellStyle name="Normal 2 2 3 2 2 2" xfId="250" xr:uid="{E000FC97-BA5D-4963-B92F-144309DE8746}"/>
    <cellStyle name="Normal 2 2 3 2 2 2 2" xfId="426" xr:uid="{CBAAFC8B-3F88-4169-8421-04A260580AD6}"/>
    <cellStyle name="Normal 2 2 3 2 2 2 3" xfId="602" xr:uid="{15732224-DCDB-4D9B-BE6E-B95A7C34C531}"/>
    <cellStyle name="Normal 2 2 3 2 2 3" xfId="338" xr:uid="{A750F286-5357-473E-BD81-AA3CD2B4C89F}"/>
    <cellStyle name="Normal 2 2 3 2 2 4" xfId="514" xr:uid="{BBD44ED8-B89B-4537-BAF1-0AECD92E41E3}"/>
    <cellStyle name="Normal 2 2 3 2 3" xfId="205" xr:uid="{9C23FC9A-70CC-48E9-AF8D-C5448D2F149A}"/>
    <cellStyle name="Normal 2 2 3 2 3 2" xfId="381" xr:uid="{3A494725-C59C-42ED-97B5-757241F8D91F}"/>
    <cellStyle name="Normal 2 2 3 2 3 3" xfId="557" xr:uid="{8F269DC2-423D-4675-B51A-CB0FA9C20D9D}"/>
    <cellStyle name="Normal 2 2 3 2 4" xfId="293" xr:uid="{99A9C8DF-BF81-4947-8423-21B41A16BBED}"/>
    <cellStyle name="Normal 2 2 3 2 5" xfId="469" xr:uid="{6A8CED77-9354-45D4-9DD9-7AEFBA406A44}"/>
    <cellStyle name="Normal 2 2 3 3" xfId="141" xr:uid="{3E852B30-1A99-4CDE-86FF-F10303948E7E}"/>
    <cellStyle name="Normal 2 2 3 3 2" xfId="229" xr:uid="{A964E9E5-8540-465E-8E1C-817E59AD0E33}"/>
    <cellStyle name="Normal 2 2 3 3 2 2" xfId="405" xr:uid="{1675E4D3-2076-4154-9DB7-590289EA7902}"/>
    <cellStyle name="Normal 2 2 3 3 2 3" xfId="581" xr:uid="{2CBB9D51-533B-4E60-976E-DE0696C543E3}"/>
    <cellStyle name="Normal 2 2 3 3 3" xfId="317" xr:uid="{CEECA9D3-1793-4960-8681-76325DBD953C}"/>
    <cellStyle name="Normal 2 2 3 3 4" xfId="493" xr:uid="{F8F4C2A2-D778-4DC9-8E62-973BE97734AB}"/>
    <cellStyle name="Normal 2 2 3 4" xfId="184" xr:uid="{2620332E-3D0C-42FF-9FFB-F7B2E87B1617}"/>
    <cellStyle name="Normal 2 2 3 4 2" xfId="360" xr:uid="{FB3C8691-4A14-4965-A93E-23B877E1BB07}"/>
    <cellStyle name="Normal 2 2 3 4 3" xfId="536" xr:uid="{102311EE-C6A7-4A41-AD19-6A2F6298792C}"/>
    <cellStyle name="Normal 2 2 3 5" xfId="272" xr:uid="{D74CAA64-A22D-443C-9302-EAD57BFD2A63}"/>
    <cellStyle name="Normal 2 2 3 6" xfId="448" xr:uid="{270F62A7-4F9A-4B98-B92D-027DDB011CAD}"/>
    <cellStyle name="Normal 2 2 4" xfId="104" xr:uid="{A63ED41F-F9D4-4D12-920C-D5A268883D5F}"/>
    <cellStyle name="Normal 2 2 4 2" xfId="152" xr:uid="{5684DE2A-3FFE-45C3-AD40-2AD70B70B71D}"/>
    <cellStyle name="Normal 2 2 4 2 2" xfId="240" xr:uid="{4B010295-4347-45A0-A70B-448F41C9713A}"/>
    <cellStyle name="Normal 2 2 4 2 2 2" xfId="416" xr:uid="{8743A8A7-B764-4B32-8299-A591544A0CF6}"/>
    <cellStyle name="Normal 2 2 4 2 2 3" xfId="592" xr:uid="{C047C06C-E9E3-4E12-AF8F-8FBCF315017B}"/>
    <cellStyle name="Normal 2 2 4 2 3" xfId="328" xr:uid="{16B9F514-C494-445A-9346-0A37AD150B8C}"/>
    <cellStyle name="Normal 2 2 4 2 4" xfId="504" xr:uid="{800C0C42-94F9-4A5A-8B1F-F55B2244DD05}"/>
    <cellStyle name="Normal 2 2 4 3" xfId="195" xr:uid="{C926EB00-E746-4713-9F89-3FD2AE9E0533}"/>
    <cellStyle name="Normal 2 2 4 3 2" xfId="371" xr:uid="{DF915C53-EA56-4B6C-81EB-2F36B5E339B4}"/>
    <cellStyle name="Normal 2 2 4 3 3" xfId="547" xr:uid="{4DF7E296-2BC9-4D57-BEF7-FEC0F69F9F65}"/>
    <cellStyle name="Normal 2 2 4 4" xfId="283" xr:uid="{856C3B80-618A-4801-BA48-5A00C458AE5D}"/>
    <cellStyle name="Normal 2 2 4 5" xfId="459" xr:uid="{B754AAE0-2B1E-47C6-956F-5E1FE59A9274}"/>
    <cellStyle name="Normal 2 2 5" xfId="131" xr:uid="{1AAA8C47-35A5-49DC-B803-FD4C3A6F48B8}"/>
    <cellStyle name="Normal 2 2 5 2" xfId="219" xr:uid="{4D39E3EE-DC8C-4FC0-A4CD-D65415C8D855}"/>
    <cellStyle name="Normal 2 2 5 2 2" xfId="395" xr:uid="{17C55904-BA24-4CF5-91DF-2B9D9DCC40B7}"/>
    <cellStyle name="Normal 2 2 5 2 3" xfId="571" xr:uid="{1EA6DEA8-2785-4EEC-A156-968431011042}"/>
    <cellStyle name="Normal 2 2 5 3" xfId="307" xr:uid="{30834DD3-403F-43FC-AEA0-A8EE18A8D3B2}"/>
    <cellStyle name="Normal 2 2 5 4" xfId="483" xr:uid="{33E3A5B3-D76E-4F89-B4AF-C463B65B09BF}"/>
    <cellStyle name="Normal 2 2 6" xfId="174" xr:uid="{E7A6FD00-46EA-4F98-8B64-3F9F5480EEA9}"/>
    <cellStyle name="Normal 2 2 6 2" xfId="350" xr:uid="{60352AA3-CD78-4102-B580-9115E293645D}"/>
    <cellStyle name="Normal 2 2 6 3" xfId="526" xr:uid="{B432DCB2-848C-4B81-B65D-864AE0C7AF6E}"/>
    <cellStyle name="Normal 2 2 7" xfId="262" xr:uid="{230FD741-5877-496D-B3BC-726CA5846B02}"/>
    <cellStyle name="Normal 2 2 8" xfId="438" xr:uid="{4511F0D3-8714-4A01-B584-C8BCCE78C5A1}"/>
    <cellStyle name="Normal 2 3" xfId="73" xr:uid="{3044DDE8-7A2D-482B-8C0E-3558F8DBF40B}"/>
    <cellStyle name="Normal 2 3 2" xfId="85" xr:uid="{EE106D8E-0CD0-4418-A461-ED40D12CE67F}"/>
    <cellStyle name="Normal 2 3 2 2" xfId="95" xr:uid="{8720E4A0-6E02-47C2-8704-8B049AA2FE7D}"/>
    <cellStyle name="Normal 2 3 2 2 2" xfId="116" xr:uid="{206F641C-5F07-4106-95B5-221EDDBA3FF0}"/>
    <cellStyle name="Normal 2 3 2 2 2 2" xfId="164" xr:uid="{C0C90593-FF2F-4FF0-A869-2585F66A70E7}"/>
    <cellStyle name="Normal 2 3 2 2 2 2 2" xfId="252" xr:uid="{7C32A9F7-0932-4B7B-A8AF-EF5ACAC57A58}"/>
    <cellStyle name="Normal 2 3 2 2 2 2 2 2" xfId="428" xr:uid="{9DF5CD79-47D4-4C36-844A-BC2DBAC61DB2}"/>
    <cellStyle name="Normal 2 3 2 2 2 2 2 3" xfId="604" xr:uid="{C2DB801A-5CD5-48FE-8B94-BBFF0C4D2DF5}"/>
    <cellStyle name="Normal 2 3 2 2 2 2 3" xfId="340" xr:uid="{29F5513C-958B-4B18-8FE1-9133BD00ADD3}"/>
    <cellStyle name="Normal 2 3 2 2 2 2 4" xfId="516" xr:uid="{EBB4A2F9-FD69-4C46-B5B0-859CDD48AFE3}"/>
    <cellStyle name="Normal 2 3 2 2 2 3" xfId="207" xr:uid="{9640B9A9-0318-4344-ACCC-F1FC844A61B8}"/>
    <cellStyle name="Normal 2 3 2 2 2 3 2" xfId="383" xr:uid="{CE510CEA-1F34-4363-A942-CF04C917127E}"/>
    <cellStyle name="Normal 2 3 2 2 2 3 3" xfId="559" xr:uid="{85DC1B52-1E5B-4EFA-A249-7E5991AF93AD}"/>
    <cellStyle name="Normal 2 3 2 2 2 4" xfId="295" xr:uid="{770BD835-FB9B-47FD-9037-C608224A17BD}"/>
    <cellStyle name="Normal 2 3 2 2 2 5" xfId="471" xr:uid="{2052F2AE-22CC-4A3F-BEE4-CB9D6CC2306A}"/>
    <cellStyle name="Normal 2 3 2 2 3" xfId="143" xr:uid="{7066065F-D436-47A3-A4D3-3438F20A6486}"/>
    <cellStyle name="Normal 2 3 2 2 3 2" xfId="231" xr:uid="{D622C02B-CD89-492A-818D-98360BA257BE}"/>
    <cellStyle name="Normal 2 3 2 2 3 2 2" xfId="407" xr:uid="{0C9E5E25-BE0F-48C9-B2E1-D4CEAC2E180E}"/>
    <cellStyle name="Normal 2 3 2 2 3 2 3" xfId="583" xr:uid="{BF96DB1D-69AD-489B-9922-92C101C19F65}"/>
    <cellStyle name="Normal 2 3 2 2 3 3" xfId="319" xr:uid="{E50D07CD-412E-4F1E-96D0-2E75F4D39BA1}"/>
    <cellStyle name="Normal 2 3 2 2 3 4" xfId="495" xr:uid="{7320581D-383E-4D17-9C31-6D668C7C154D}"/>
    <cellStyle name="Normal 2 3 2 2 4" xfId="186" xr:uid="{333B2CF4-7135-4C8A-902B-CEA9F997089C}"/>
    <cellStyle name="Normal 2 3 2 2 4 2" xfId="362" xr:uid="{02785331-77EA-4EC6-81FF-92F7EF51A459}"/>
    <cellStyle name="Normal 2 3 2 2 4 3" xfId="538" xr:uid="{D329F43B-4359-4B73-A996-582800F5D91A}"/>
    <cellStyle name="Normal 2 3 2 2 5" xfId="274" xr:uid="{8F90B636-709E-47D3-926C-3F76DD4175E3}"/>
    <cellStyle name="Normal 2 3 2 2 6" xfId="450" xr:uid="{0B1123F9-3A8C-4521-B4AB-0DA27EE1C44E}"/>
    <cellStyle name="Normal 2 3 2 3" xfId="106" xr:uid="{6467C34D-EA5B-4FBD-BD0B-271D992E08EF}"/>
    <cellStyle name="Normal 2 3 2 3 2" xfId="154" xr:uid="{1816B1FC-4BF7-4971-8D7F-A61A7AC1BF81}"/>
    <cellStyle name="Normal 2 3 2 3 2 2" xfId="242" xr:uid="{A69A8761-0297-41EF-8C68-4912CE6DF17F}"/>
    <cellStyle name="Normal 2 3 2 3 2 2 2" xfId="418" xr:uid="{1B28EB62-A67B-4EDE-BB58-29126899B6F3}"/>
    <cellStyle name="Normal 2 3 2 3 2 2 3" xfId="594" xr:uid="{DFBCF451-D7CC-4CD1-A2C3-00DF337ABC08}"/>
    <cellStyle name="Normal 2 3 2 3 2 3" xfId="330" xr:uid="{BE78331F-B2A0-46ED-B4E3-2190A962745E}"/>
    <cellStyle name="Normal 2 3 2 3 2 4" xfId="506" xr:uid="{22230098-107C-40AD-B149-50AFDE05F9EA}"/>
    <cellStyle name="Normal 2 3 2 3 3" xfId="197" xr:uid="{6F65E05A-D09D-4F7E-8175-1C2B278A9C10}"/>
    <cellStyle name="Normal 2 3 2 3 3 2" xfId="373" xr:uid="{42DDFBF1-422F-47EA-9F8F-12C2E7B98128}"/>
    <cellStyle name="Normal 2 3 2 3 3 3" xfId="549" xr:uid="{D1020411-C4D8-45E2-A750-D1B3E4F1D8D6}"/>
    <cellStyle name="Normal 2 3 2 3 4" xfId="285" xr:uid="{A830E808-2B17-4187-BD80-ACAD695A87ED}"/>
    <cellStyle name="Normal 2 3 2 3 5" xfId="461" xr:uid="{7FC61A4D-1DE3-4230-A1F1-392204D9E9FC}"/>
    <cellStyle name="Normal 2 3 2 4" xfId="133" xr:uid="{6B8D2089-E846-4A06-B94E-5EDBCE36383C}"/>
    <cellStyle name="Normal 2 3 2 4 2" xfId="221" xr:uid="{9EF3C325-530E-4A29-9112-BF94F0BDF0AB}"/>
    <cellStyle name="Normal 2 3 2 4 2 2" xfId="397" xr:uid="{88BC9783-0B73-4B40-8BE2-C6ACFFADFE37}"/>
    <cellStyle name="Normal 2 3 2 4 2 3" xfId="573" xr:uid="{563CF380-F05A-4806-B927-28E6EE803E8B}"/>
    <cellStyle name="Normal 2 3 2 4 3" xfId="309" xr:uid="{DDA989B6-7AD2-4914-AB32-80479BB7DDFF}"/>
    <cellStyle name="Normal 2 3 2 4 4" xfId="485" xr:uid="{6010B049-6782-4EFB-B1C0-B57C0BA76D49}"/>
    <cellStyle name="Normal 2 3 2 5" xfId="176" xr:uid="{4010AD3E-F0EF-4EB4-9AF8-1697E86D9EDD}"/>
    <cellStyle name="Normal 2 3 2 5 2" xfId="352" xr:uid="{25DE964A-6C53-45A7-B8B8-582B59B0B093}"/>
    <cellStyle name="Normal 2 3 2 5 3" xfId="528" xr:uid="{C6D2533F-B7A4-4C13-B017-E2F557BAEF83}"/>
    <cellStyle name="Normal 2 3 2 6" xfId="264" xr:uid="{922F9464-53E3-4634-A50E-2A820B260DCB}"/>
    <cellStyle name="Normal 2 3 2 7" xfId="440" xr:uid="{C23FA8FC-CE37-4843-B886-AE7F1B665F29}"/>
    <cellStyle name="Normal 2 3 3" xfId="90" xr:uid="{766E0C3E-323C-43D5-8026-C636803D1C7C}"/>
    <cellStyle name="Normal 2 3 3 2" xfId="111" xr:uid="{7892F5F6-A120-4B9A-9D08-F61D8C9F07D2}"/>
    <cellStyle name="Normal 2 3 3 2 2" xfId="159" xr:uid="{C1ACE44D-2ABA-4EC7-9391-5C6396A8A4E9}"/>
    <cellStyle name="Normal 2 3 3 2 2 2" xfId="247" xr:uid="{ACF23F7E-D661-42F7-82F9-E26E4C690D42}"/>
    <cellStyle name="Normal 2 3 3 2 2 2 2" xfId="423" xr:uid="{397FDCA1-07E0-4C50-8B80-A6F6D8B898E4}"/>
    <cellStyle name="Normal 2 3 3 2 2 2 3" xfId="599" xr:uid="{88BD7F71-3BA4-42A5-9E8D-DC725FE8AC7A}"/>
    <cellStyle name="Normal 2 3 3 2 2 3" xfId="335" xr:uid="{E2E48CF2-1533-4C63-B03F-480EFDF007AD}"/>
    <cellStyle name="Normal 2 3 3 2 2 4" xfId="511" xr:uid="{9EE440E7-7C0F-4D35-B558-F5406DE9907B}"/>
    <cellStyle name="Normal 2 3 3 2 3" xfId="202" xr:uid="{A98F8DBE-A897-4D26-ACB0-1341CA41E268}"/>
    <cellStyle name="Normal 2 3 3 2 3 2" xfId="378" xr:uid="{EECAFDB2-8990-4D5F-9BF8-FDFBB8609C09}"/>
    <cellStyle name="Normal 2 3 3 2 3 3" xfId="554" xr:uid="{2D4B10FB-EBFC-4786-BF98-7791AAFE380C}"/>
    <cellStyle name="Normal 2 3 3 2 4" xfId="290" xr:uid="{2F11A36C-3943-4216-8470-2716AB10C99A}"/>
    <cellStyle name="Normal 2 3 3 2 5" xfId="466" xr:uid="{E64F0534-686E-41F2-A2BB-B03AB581701F}"/>
    <cellStyle name="Normal 2 3 3 3" xfId="138" xr:uid="{17171732-C82D-4998-BD03-AA9F219113CF}"/>
    <cellStyle name="Normal 2 3 3 3 2" xfId="226" xr:uid="{30BB0ADA-A4B7-4948-A1B6-18BF041C9B64}"/>
    <cellStyle name="Normal 2 3 3 3 2 2" xfId="402" xr:uid="{6E4CF373-F137-4939-A649-64DB892D2133}"/>
    <cellStyle name="Normal 2 3 3 3 2 3" xfId="578" xr:uid="{4D7001AD-3421-4AE5-BA4B-EDA8BC6BA94F}"/>
    <cellStyle name="Normal 2 3 3 3 3" xfId="314" xr:uid="{21D1CE4C-3282-46E0-9ED8-1EBECE589034}"/>
    <cellStyle name="Normal 2 3 3 3 4" xfId="490" xr:uid="{F13F6CF8-8A23-41A1-B2D1-D802708C3926}"/>
    <cellStyle name="Normal 2 3 3 4" xfId="181" xr:uid="{6C856498-0541-429B-82F8-7F7B72A806F8}"/>
    <cellStyle name="Normal 2 3 3 4 2" xfId="357" xr:uid="{BE3B810A-52E9-4FAA-9A54-7F03391F7C8D}"/>
    <cellStyle name="Normal 2 3 3 4 3" xfId="533" xr:uid="{77A1CF55-6858-4AFB-99F5-1ED419CCDC4F}"/>
    <cellStyle name="Normal 2 3 3 5" xfId="269" xr:uid="{82352CBF-D99F-4FC4-A731-9E250FE123E1}"/>
    <cellStyle name="Normal 2 3 3 6" xfId="445" xr:uid="{E721CDF8-0B94-4148-8A67-E7DED864C62A}"/>
    <cellStyle name="Normal 2 3 4" xfId="101" xr:uid="{952DACA3-F9CD-4BAD-A435-0AAD0D8385B0}"/>
    <cellStyle name="Normal 2 3 4 2" xfId="149" xr:uid="{5A8C2C2F-DAC0-4095-9572-C494036FCFA8}"/>
    <cellStyle name="Normal 2 3 4 2 2" xfId="237" xr:uid="{2FDFE1A5-C5C8-497A-84F1-A793C2497FAF}"/>
    <cellStyle name="Normal 2 3 4 2 2 2" xfId="413" xr:uid="{21B0F37D-E2DB-4224-B318-3FA786CDB07E}"/>
    <cellStyle name="Normal 2 3 4 2 2 3" xfId="589" xr:uid="{0092BFD1-E324-4BCC-8E57-F5A9296D88FE}"/>
    <cellStyle name="Normal 2 3 4 2 3" xfId="325" xr:uid="{F648B8B6-E1E5-4BC7-8AC1-3B5152B77B4D}"/>
    <cellStyle name="Normal 2 3 4 2 4" xfId="501" xr:uid="{724B4114-BD1A-4667-A478-E4F848DA3E5C}"/>
    <cellStyle name="Normal 2 3 4 3" xfId="192" xr:uid="{3BC12ABE-D3A6-4DF5-BEC5-1488C794B247}"/>
    <cellStyle name="Normal 2 3 4 3 2" xfId="368" xr:uid="{F288BC8E-A0A6-4B20-B97B-AC7EE51578ED}"/>
    <cellStyle name="Normal 2 3 4 3 3" xfId="544" xr:uid="{572DF8EE-BEC7-47A8-AF17-FBCFABBF3191}"/>
    <cellStyle name="Normal 2 3 4 4" xfId="280" xr:uid="{BD087BE1-EF6D-4124-9587-BCFFD7E9C3AC}"/>
    <cellStyle name="Normal 2 3 4 5" xfId="456" xr:uid="{5F2D5EBB-4948-4189-9225-8EB51076F215}"/>
    <cellStyle name="Normal 2 3 5" xfId="128" xr:uid="{89F1D8AE-B2B3-4518-8F26-5EE92832BD2D}"/>
    <cellStyle name="Normal 2 3 5 2" xfId="216" xr:uid="{F4A1355D-1032-4F03-8DA4-96C862ACB9DD}"/>
    <cellStyle name="Normal 2 3 5 2 2" xfId="392" xr:uid="{53CC9206-CD8B-4665-993E-5F53A77D372E}"/>
    <cellStyle name="Normal 2 3 5 2 3" xfId="568" xr:uid="{D7361216-7702-4F22-A479-FD94032A529E}"/>
    <cellStyle name="Normal 2 3 5 3" xfId="304" xr:uid="{11CF3ED5-A654-41EC-B228-64CE81E88852}"/>
    <cellStyle name="Normal 2 3 5 4" xfId="480" xr:uid="{68A7AD97-88AC-4BBE-904B-79C1DA97322F}"/>
    <cellStyle name="Normal 2 3 6" xfId="171" xr:uid="{025B1FE1-1741-43A3-86B2-C7298E6A9544}"/>
    <cellStyle name="Normal 2 3 6 2" xfId="347" xr:uid="{36B750D5-7441-418A-9EEC-4CD062974A95}"/>
    <cellStyle name="Normal 2 3 6 3" xfId="523" xr:uid="{44C2C677-E91C-47B3-B1D8-6D787ECDECAF}"/>
    <cellStyle name="Normal 2 3 7" xfId="259" xr:uid="{8AE7DBCE-88CE-474F-AFCD-3EEA17067588}"/>
    <cellStyle name="Normal 2 3 8" xfId="435" xr:uid="{8BA03D62-C21F-45FC-ACCE-8FDC14864D7A}"/>
    <cellStyle name="Normal 2 4" xfId="83" xr:uid="{46683D8D-CDCD-40DB-B577-C99D8D1281EF}"/>
    <cellStyle name="Normal 2 4 2" xfId="94" xr:uid="{251EB28A-9CE8-4BBE-A95A-1B10E8A2F08F}"/>
    <cellStyle name="Normal 2 4 2 2" xfId="115" xr:uid="{C31F775D-8268-4B80-8B02-A2052F00D07A}"/>
    <cellStyle name="Normal 2 4 2 2 2" xfId="163" xr:uid="{78CCE27A-9106-4F71-A17E-1E04D961747F}"/>
    <cellStyle name="Normal 2 4 2 2 2 2" xfId="251" xr:uid="{66BC18DA-E776-4029-8D9D-E35B5D299203}"/>
    <cellStyle name="Normal 2 4 2 2 2 2 2" xfId="427" xr:uid="{745620D5-26A0-4CC0-B1A7-9BF4CF3CC261}"/>
    <cellStyle name="Normal 2 4 2 2 2 2 3" xfId="603" xr:uid="{EA51CB8D-197F-4EDC-8D48-7143EA933E44}"/>
    <cellStyle name="Normal 2 4 2 2 2 3" xfId="339" xr:uid="{C9EF5D5D-F68D-420A-B8BC-7F41C08F230C}"/>
    <cellStyle name="Normal 2 4 2 2 2 4" xfId="515" xr:uid="{71B43C08-FD70-4B20-9186-6C14D287CDEC}"/>
    <cellStyle name="Normal 2 4 2 2 3" xfId="206" xr:uid="{7BA16CEC-AA84-4628-9536-2F7B6DD7DDA4}"/>
    <cellStyle name="Normal 2 4 2 2 3 2" xfId="382" xr:uid="{DC66E671-092A-4B8D-A644-E553CA6F238B}"/>
    <cellStyle name="Normal 2 4 2 2 3 3" xfId="558" xr:uid="{8E385350-2A62-42EB-BBF1-2FB6D210F499}"/>
    <cellStyle name="Normal 2 4 2 2 4" xfId="294" xr:uid="{F4F77349-74D3-4665-9633-E4BF43E2EEDA}"/>
    <cellStyle name="Normal 2 4 2 2 5" xfId="470" xr:uid="{F25510C7-2DCC-44D3-8B5A-D02750FFED79}"/>
    <cellStyle name="Normal 2 4 2 3" xfId="142" xr:uid="{04EA4715-851E-4DC2-A491-217DE2AFC648}"/>
    <cellStyle name="Normal 2 4 2 3 2" xfId="230" xr:uid="{3A5BE512-B3C9-4BB7-8649-BE64D5DDF104}"/>
    <cellStyle name="Normal 2 4 2 3 2 2" xfId="406" xr:uid="{4D4BD8DE-D626-4919-BB59-BAB3500D895B}"/>
    <cellStyle name="Normal 2 4 2 3 2 3" xfId="582" xr:uid="{7EAC1F40-62DD-48A8-A6E7-8BCBA1BF0354}"/>
    <cellStyle name="Normal 2 4 2 3 3" xfId="318" xr:uid="{6EFD1DB7-5CB9-49DE-A8EB-295F719F6FA6}"/>
    <cellStyle name="Normal 2 4 2 3 4" xfId="494" xr:uid="{A7B724D6-2276-48CA-8883-4578B04F28B8}"/>
    <cellStyle name="Normal 2 4 2 4" xfId="185" xr:uid="{7E555B90-FB14-4EC1-BE76-31675A52B1FF}"/>
    <cellStyle name="Normal 2 4 2 4 2" xfId="361" xr:uid="{0F3359FF-C11E-4612-B46C-3284893B1D8F}"/>
    <cellStyle name="Normal 2 4 2 4 3" xfId="537" xr:uid="{06C5CB63-DF03-4F3D-92BA-A8AEB4AB2B22}"/>
    <cellStyle name="Normal 2 4 2 5" xfId="273" xr:uid="{20293E1D-F583-49E9-AD60-2938940F9F9A}"/>
    <cellStyle name="Normal 2 4 2 6" xfId="449" xr:uid="{1BD9606E-0FFE-4D29-80F2-28398896D7E3}"/>
    <cellStyle name="Normal 2 4 3" xfId="105" xr:uid="{9C2A3BF6-3C55-4727-9057-A3070399CEDB}"/>
    <cellStyle name="Normal 2 4 3 2" xfId="153" xr:uid="{7C13DA95-BB0F-4F8A-8D2F-0D01129C054F}"/>
    <cellStyle name="Normal 2 4 3 2 2" xfId="241" xr:uid="{AADAB9AB-FEC9-49B5-B8F7-4270065E055A}"/>
    <cellStyle name="Normal 2 4 3 2 2 2" xfId="417" xr:uid="{22D3B30D-F6FB-4E19-989A-D5F80BD3ABC9}"/>
    <cellStyle name="Normal 2 4 3 2 2 3" xfId="593" xr:uid="{4611F432-20A6-4A0C-A4A5-9C83EDEC5D53}"/>
    <cellStyle name="Normal 2 4 3 2 3" xfId="329" xr:uid="{B51465FF-DA71-4DF9-9BB4-00679E9A2EC8}"/>
    <cellStyle name="Normal 2 4 3 2 4" xfId="505" xr:uid="{FE9840F3-24EF-4DF4-A570-67520D6E8499}"/>
    <cellStyle name="Normal 2 4 3 3" xfId="196" xr:uid="{62D52643-60AE-4891-A2E8-3B24459BA9DC}"/>
    <cellStyle name="Normal 2 4 3 3 2" xfId="372" xr:uid="{8DAE0F8F-B16B-4B4A-A385-F85C15B41EE4}"/>
    <cellStyle name="Normal 2 4 3 3 3" xfId="548" xr:uid="{B8FEBB5F-B8F6-49AE-ADCE-C9A456E12490}"/>
    <cellStyle name="Normal 2 4 3 4" xfId="284" xr:uid="{9F5C93A8-E31F-44FB-9738-162FEF96430C}"/>
    <cellStyle name="Normal 2 4 3 5" xfId="460" xr:uid="{BBC46D2D-0C23-4032-BB47-F358904BFAE4}"/>
    <cellStyle name="Normal 2 4 4" xfId="132" xr:uid="{9121B9C9-3388-4368-83F4-093BFF930FC4}"/>
    <cellStyle name="Normal 2 4 4 2" xfId="220" xr:uid="{170E6CAF-B329-45A2-9A60-104397168206}"/>
    <cellStyle name="Normal 2 4 4 2 2" xfId="396" xr:uid="{21A85E43-BFDC-4A53-BD96-9908A3595AD4}"/>
    <cellStyle name="Normal 2 4 4 2 3" xfId="572" xr:uid="{C44E7464-E811-44BF-B0D1-AB92CA632EB7}"/>
    <cellStyle name="Normal 2 4 4 3" xfId="308" xr:uid="{68E86A37-D9BC-4D8D-AF82-E05F955DDA4F}"/>
    <cellStyle name="Normal 2 4 4 4" xfId="484" xr:uid="{6BC75A79-C090-4E96-A475-03E37E1F807A}"/>
    <cellStyle name="Normal 2 4 5" xfId="175" xr:uid="{D3107275-835D-407E-B05E-18B8718E1767}"/>
    <cellStyle name="Normal 2 4 5 2" xfId="351" xr:uid="{20604AC1-7EFC-4747-80B8-E87F46754AEA}"/>
    <cellStyle name="Normal 2 4 5 3" xfId="527" xr:uid="{F97A7FF9-39CC-4AA9-8CBF-9E928481BE0C}"/>
    <cellStyle name="Normal 2 4 6" xfId="263" xr:uid="{5C54CE82-9218-41B5-A184-A6301DAA07F9}"/>
    <cellStyle name="Normal 2 4 7" xfId="439" xr:uid="{46FBB6A5-0DD8-40A2-BFA8-04530979E70C}"/>
    <cellStyle name="Normal 2 5" xfId="89" xr:uid="{34D51F2C-7800-45EB-9600-BAE2FCA41EFD}"/>
    <cellStyle name="Normal 2 5 2" xfId="110" xr:uid="{16F3A417-D2CF-4304-9FEC-3729A5F0FEDF}"/>
    <cellStyle name="Normal 2 5 2 2" xfId="158" xr:uid="{BCE52134-0736-414E-825F-51A65EE021F2}"/>
    <cellStyle name="Normal 2 5 2 2 2" xfId="246" xr:uid="{22044AA5-46B2-401F-8A53-0231697A1308}"/>
    <cellStyle name="Normal 2 5 2 2 2 2" xfId="422" xr:uid="{7706BF8C-9C1B-4959-B2CB-4AA95D96B286}"/>
    <cellStyle name="Normal 2 5 2 2 2 3" xfId="598" xr:uid="{CC498918-8F89-4D4B-A1CC-EC7DF3F15F49}"/>
    <cellStyle name="Normal 2 5 2 2 3" xfId="334" xr:uid="{1CC90458-844D-494C-9B73-726A282CD459}"/>
    <cellStyle name="Normal 2 5 2 2 4" xfId="510" xr:uid="{EDF89A74-7503-41FD-9634-33BFAD64C127}"/>
    <cellStyle name="Normal 2 5 2 3" xfId="201" xr:uid="{903751F5-70A8-46D9-92CF-BCE8B7668AA9}"/>
    <cellStyle name="Normal 2 5 2 3 2" xfId="377" xr:uid="{F9602282-A5E9-4BE1-BA88-C90C7DF2C6D6}"/>
    <cellStyle name="Normal 2 5 2 3 3" xfId="553" xr:uid="{751C9966-8443-442F-8301-C6636FBBED3C}"/>
    <cellStyle name="Normal 2 5 2 4" xfId="289" xr:uid="{28F8C49D-3F45-4EC3-BA7B-95054BC88BFB}"/>
    <cellStyle name="Normal 2 5 2 5" xfId="465" xr:uid="{1666B8F3-DAB6-466D-83A6-A42E0FD579A7}"/>
    <cellStyle name="Normal 2 5 3" xfId="137" xr:uid="{2DA0E8E2-76BF-458C-BB65-39F3DC4D5144}"/>
    <cellStyle name="Normal 2 5 3 2" xfId="225" xr:uid="{1A8C65A3-82E7-49C7-BF98-DC6E090373B5}"/>
    <cellStyle name="Normal 2 5 3 2 2" xfId="401" xr:uid="{72BF5154-9390-4E7E-9C2D-DEAA5A752120}"/>
    <cellStyle name="Normal 2 5 3 2 3" xfId="577" xr:uid="{B9B6A17A-D69A-4F4A-9A1E-2D263197FD89}"/>
    <cellStyle name="Normal 2 5 3 3" xfId="313" xr:uid="{B99E3300-BEDF-4824-ABD4-EB88B2FCA2EB}"/>
    <cellStyle name="Normal 2 5 3 4" xfId="489" xr:uid="{9335E904-EDAF-4C23-9672-867805AF825A}"/>
    <cellStyle name="Normal 2 5 4" xfId="180" xr:uid="{A76B759A-F042-4E91-B9FA-BC81D0EF6D2F}"/>
    <cellStyle name="Normal 2 5 4 2" xfId="356" xr:uid="{CB045ABE-AE01-4D74-BD1D-7DA248A291E2}"/>
    <cellStyle name="Normal 2 5 4 3" xfId="532" xr:uid="{2DB9EC62-CCB7-4283-9891-B55F94268282}"/>
    <cellStyle name="Normal 2 5 5" xfId="268" xr:uid="{38C09D10-3C18-4C4C-815A-8F494F5E4636}"/>
    <cellStyle name="Normal 2 5 6" xfId="444" xr:uid="{3F870759-CC3D-4FB9-829E-E6FEDCCD2BE8}"/>
    <cellStyle name="Normal 2 6" xfId="100" xr:uid="{FA80008B-6B1C-4C56-8921-F83CE3DAC6D6}"/>
    <cellStyle name="Normal 2 6 2" xfId="148" xr:uid="{ABEDC8D0-46F3-4BED-8B04-3CAF7EC50F7E}"/>
    <cellStyle name="Normal 2 6 2 2" xfId="236" xr:uid="{75DBC358-A062-4100-B9C6-07638BF65B93}"/>
    <cellStyle name="Normal 2 6 2 2 2" xfId="412" xr:uid="{94C05C8B-BFA9-4A91-939D-E6B64A767E7E}"/>
    <cellStyle name="Normal 2 6 2 2 3" xfId="588" xr:uid="{C39D125C-6E7D-4084-882B-B7D1DB4F22E9}"/>
    <cellStyle name="Normal 2 6 2 3" xfId="324" xr:uid="{F431C5C0-98CA-427B-B326-EC2F79525E6E}"/>
    <cellStyle name="Normal 2 6 2 4" xfId="500" xr:uid="{7823E644-A1CC-466D-82D5-B00B3AFB4289}"/>
    <cellStyle name="Normal 2 6 3" xfId="191" xr:uid="{49D07869-CB8E-4724-B9EF-518D5A45BD5A}"/>
    <cellStyle name="Normal 2 6 3 2" xfId="367" xr:uid="{FD3C725E-8D6F-4DC7-9097-C40A468DA3D0}"/>
    <cellStyle name="Normal 2 6 3 3" xfId="543" xr:uid="{006B22A3-78DE-4E4C-A510-254743F8864D}"/>
    <cellStyle name="Normal 2 6 4" xfId="279" xr:uid="{849D51CD-5F50-42AA-AEA6-1C468CFCFDAC}"/>
    <cellStyle name="Normal 2 6 5" xfId="455" xr:uid="{7E9A9CA9-0337-4D0B-84A9-968EAE6AC659}"/>
    <cellStyle name="Normal 2 7" xfId="127" xr:uid="{77A2F21A-59E2-4376-A8D9-121FE8E9B8E7}"/>
    <cellStyle name="Normal 2 7 2" xfId="215" xr:uid="{CF9EC3AF-A6EB-45B7-8388-A85778EEAD4E}"/>
    <cellStyle name="Normal 2 7 2 2" xfId="391" xr:uid="{A0F6FE07-F0EA-4026-BEDF-FF03697F90AD}"/>
    <cellStyle name="Normal 2 7 2 3" xfId="567" xr:uid="{479201FA-0A14-49C6-BA19-ED6F260AAE0C}"/>
    <cellStyle name="Normal 2 7 3" xfId="303" xr:uid="{96590FEE-5062-4492-B7E4-0896A547A0C7}"/>
    <cellStyle name="Normal 2 7 4" xfId="479" xr:uid="{270C5556-FEE9-4CA9-8A96-3CC23982F6EF}"/>
    <cellStyle name="Normal 2 8" xfId="170" xr:uid="{920228A8-175E-445A-BFE1-B6880B7F4226}"/>
    <cellStyle name="Normal 2 8 2" xfId="346" xr:uid="{FB4769F3-DB62-4769-9F83-DF272C6F6DE4}"/>
    <cellStyle name="Normal 2 8 3" xfId="522" xr:uid="{46D0BBA6-042C-4614-942A-E498F752AE5C}"/>
    <cellStyle name="Normal 2 9" xfId="258" xr:uid="{653D3E72-0576-4E5A-B733-B56C71C7C150}"/>
    <cellStyle name="Normal 3" xfId="62" xr:uid="{DF5CBDF0-4DE6-4D69-8FF4-0A645F889830}"/>
    <cellStyle name="Normal 3 2" xfId="75" xr:uid="{B1F6B12C-C6E1-4176-8497-018708B21120}"/>
    <cellStyle name="Normal 4" xfId="76" xr:uid="{2B78BAEF-6D58-4C94-BC78-06A7D51FE318}"/>
    <cellStyle name="Normal 4 2" xfId="87" xr:uid="{7F47A69B-61F1-47A4-99C2-212D032099A8}"/>
    <cellStyle name="Normal 4 2 2" xfId="97" xr:uid="{4296832C-C2D0-4F31-9C55-0C88ED26E880}"/>
    <cellStyle name="Normal 4 2 2 2" xfId="118" xr:uid="{FC9F860C-C364-451B-9D08-DD3E5A2276A1}"/>
    <cellStyle name="Normal 4 2 2 2 2" xfId="166" xr:uid="{AFD3F221-B6C0-42A6-AB7F-0DABF0247065}"/>
    <cellStyle name="Normal 4 2 2 2 2 2" xfId="254" xr:uid="{7594E208-1881-4AEC-BFD8-9E34F06EB347}"/>
    <cellStyle name="Normal 4 2 2 2 2 2 2" xfId="430" xr:uid="{6A2110F1-EC8B-45D5-A164-FA181A4ADC0D}"/>
    <cellStyle name="Normal 4 2 2 2 2 2 3" xfId="606" xr:uid="{FAA700F9-14CB-49D7-8239-EBE2A0682021}"/>
    <cellStyle name="Normal 4 2 2 2 2 3" xfId="342" xr:uid="{96521ED5-9A25-4D26-BDD4-6C7B6E1B9EFD}"/>
    <cellStyle name="Normal 4 2 2 2 2 4" xfId="518" xr:uid="{3DD1F59D-5A39-4AA7-9B06-E85479513219}"/>
    <cellStyle name="Normal 4 2 2 2 3" xfId="209" xr:uid="{431AFD5F-ECAD-4C2E-92F2-AFE963C439FD}"/>
    <cellStyle name="Normal 4 2 2 2 3 2" xfId="385" xr:uid="{EA2E04C9-9CC3-47A2-B1F0-AE5CA1BE2AF6}"/>
    <cellStyle name="Normal 4 2 2 2 3 3" xfId="561" xr:uid="{9698F1F4-FFEF-4A9C-8BCB-B0CAA872F49C}"/>
    <cellStyle name="Normal 4 2 2 2 4" xfId="297" xr:uid="{8826F5F4-6A8B-41B4-8928-CF6E9468975D}"/>
    <cellStyle name="Normal 4 2 2 2 5" xfId="473" xr:uid="{7AB763DC-A686-4EF4-BFA0-2F3C80B3758D}"/>
    <cellStyle name="Normal 4 2 2 3" xfId="145" xr:uid="{8CA55DF9-44B2-4070-8662-D093F2B3390B}"/>
    <cellStyle name="Normal 4 2 2 3 2" xfId="233" xr:uid="{9F54E0D7-91D4-4F10-9B74-617FCDE3F8B3}"/>
    <cellStyle name="Normal 4 2 2 3 2 2" xfId="409" xr:uid="{CA0EEBFD-F3CD-4209-85FF-EF64EB1547EE}"/>
    <cellStyle name="Normal 4 2 2 3 2 3" xfId="585" xr:uid="{00550698-842B-4F3A-B2EE-68E3CC89EF9B}"/>
    <cellStyle name="Normal 4 2 2 3 3" xfId="321" xr:uid="{2BB5A836-9942-4DBA-BF35-3C52E56F9B32}"/>
    <cellStyle name="Normal 4 2 2 3 4" xfId="497" xr:uid="{4CAB37D7-E8E3-4283-A981-DE34808F5426}"/>
    <cellStyle name="Normal 4 2 2 4" xfId="188" xr:uid="{06CAAAB2-023E-4C66-9B4E-AFB00E44B0CD}"/>
    <cellStyle name="Normal 4 2 2 4 2" xfId="364" xr:uid="{16050F16-DE67-4FAA-948F-5A43EF7BCF08}"/>
    <cellStyle name="Normal 4 2 2 4 3" xfId="540" xr:uid="{F3AB46B3-E30D-4C53-8DB7-6FA91A23D7F8}"/>
    <cellStyle name="Normal 4 2 2 5" xfId="276" xr:uid="{247BD04D-D504-4D82-91A5-1700E5AFC075}"/>
    <cellStyle name="Normal 4 2 2 6" xfId="452" xr:uid="{FED78E09-1765-47AE-8122-C11B00D0BC1F}"/>
    <cellStyle name="Normal 4 2 3" xfId="108" xr:uid="{F7A7AA45-F572-4E57-BBBC-99E7E72C346E}"/>
    <cellStyle name="Normal 4 2 3 2" xfId="156" xr:uid="{00AE2287-C7DC-4B8E-A61F-4EF4DDC0C7FC}"/>
    <cellStyle name="Normal 4 2 3 2 2" xfId="244" xr:uid="{24BEACF8-7D43-4C65-9941-487A7D8E9A7E}"/>
    <cellStyle name="Normal 4 2 3 2 2 2" xfId="420" xr:uid="{4CDF5DB8-F424-4FCC-AA08-938229BCBF4E}"/>
    <cellStyle name="Normal 4 2 3 2 2 3" xfId="596" xr:uid="{C14A061A-8C9E-4CDC-95A4-1EB9E366CE76}"/>
    <cellStyle name="Normal 4 2 3 2 3" xfId="332" xr:uid="{8A35124C-529E-475C-A5E0-FDC36DCE378F}"/>
    <cellStyle name="Normal 4 2 3 2 4" xfId="508" xr:uid="{60606F66-D1CE-4A18-AC59-701A1F670E87}"/>
    <cellStyle name="Normal 4 2 3 3" xfId="199" xr:uid="{D6D8889E-BFAF-4A79-9E01-3018FC1ECEC5}"/>
    <cellStyle name="Normal 4 2 3 3 2" xfId="375" xr:uid="{BDAB937D-9EE0-4696-B9F6-F4364E64784A}"/>
    <cellStyle name="Normal 4 2 3 3 3" xfId="551" xr:uid="{11A05E09-96B8-4BDD-AAE8-469DBB00BD53}"/>
    <cellStyle name="Normal 4 2 3 4" xfId="287" xr:uid="{DF223B07-261C-4A37-87D6-CC225DB865F5}"/>
    <cellStyle name="Normal 4 2 3 5" xfId="463" xr:uid="{66923406-827C-460B-8E91-AE3D03A841A3}"/>
    <cellStyle name="Normal 4 2 4" xfId="135" xr:uid="{3229A739-EB6B-4F11-BF7C-49582825DBB1}"/>
    <cellStyle name="Normal 4 2 4 2" xfId="223" xr:uid="{02F65800-C72C-438A-9E12-7A50951E05BD}"/>
    <cellStyle name="Normal 4 2 4 2 2" xfId="399" xr:uid="{CDB85727-C4F2-417F-9758-CAED35944ACB}"/>
    <cellStyle name="Normal 4 2 4 2 3" xfId="575" xr:uid="{28E63AF6-46D3-4A93-A92A-6970B2574F70}"/>
    <cellStyle name="Normal 4 2 4 3" xfId="311" xr:uid="{A669FB5B-AD3A-4C5C-83DA-51EF535F5705}"/>
    <cellStyle name="Normal 4 2 4 4" xfId="487" xr:uid="{228F2A6A-86AB-40DA-9C1E-229C7E792E94}"/>
    <cellStyle name="Normal 4 2 5" xfId="178" xr:uid="{3875E096-E549-4D1D-8A39-EF3A06E4B821}"/>
    <cellStyle name="Normal 4 2 5 2" xfId="354" xr:uid="{0FFF074B-B6A6-4423-A768-61EFB87FFDE7}"/>
    <cellStyle name="Normal 4 2 5 3" xfId="530" xr:uid="{ED29E1CA-E639-488F-AECD-491F42EF0C3B}"/>
    <cellStyle name="Normal 4 2 6" xfId="266" xr:uid="{409B8C5E-3ADB-464F-8CBA-756E6B3717E7}"/>
    <cellStyle name="Normal 4 2 7" xfId="442" xr:uid="{81A9C4BE-3705-450C-897B-52C1BB2F0605}"/>
    <cellStyle name="Normal 4 3" xfId="92" xr:uid="{326DC9D9-31D1-4179-9823-50A6BB0946B5}"/>
    <cellStyle name="Normal 4 3 2" xfId="113" xr:uid="{AA68C9CE-39E4-42B5-8C74-0F65600BFD27}"/>
    <cellStyle name="Normal 4 3 2 2" xfId="161" xr:uid="{D10B6A67-96E6-47DC-97A3-DD869CBD2B2E}"/>
    <cellStyle name="Normal 4 3 2 2 2" xfId="249" xr:uid="{321896E8-AB54-4A2C-9C11-D8F1E4C6538C}"/>
    <cellStyle name="Normal 4 3 2 2 2 2" xfId="425" xr:uid="{50EE7980-6712-4084-9675-5984B5199643}"/>
    <cellStyle name="Normal 4 3 2 2 2 3" xfId="601" xr:uid="{61ED81C0-5F86-4EC7-B775-2B3137B036E8}"/>
    <cellStyle name="Normal 4 3 2 2 3" xfId="337" xr:uid="{EA5FC867-8850-46D2-9DE4-9D47DA66614E}"/>
    <cellStyle name="Normal 4 3 2 2 4" xfId="513" xr:uid="{D2062053-0805-4F05-BFDB-1C3E0ADC1E9F}"/>
    <cellStyle name="Normal 4 3 2 3" xfId="204" xr:uid="{0C7F7480-FE01-43B6-BDBC-379C4667039E}"/>
    <cellStyle name="Normal 4 3 2 3 2" xfId="380" xr:uid="{9E8CAEC6-D208-46AD-9E14-C4F99D036C80}"/>
    <cellStyle name="Normal 4 3 2 3 3" xfId="556" xr:uid="{CF7CCB7D-FBC3-44A4-94C6-7A78AC9ED1F9}"/>
    <cellStyle name="Normal 4 3 2 4" xfId="292" xr:uid="{8DF26D56-AE4C-4532-A4A1-E0B6D8651220}"/>
    <cellStyle name="Normal 4 3 2 5" xfId="468" xr:uid="{4C31F21D-859D-4A9A-A165-6DD5A2C58B05}"/>
    <cellStyle name="Normal 4 3 3" xfId="140" xr:uid="{02D3523F-D303-41E1-9208-05B89275CF50}"/>
    <cellStyle name="Normal 4 3 3 2" xfId="228" xr:uid="{C9866692-D334-4E75-B6F7-0DA6E9945718}"/>
    <cellStyle name="Normal 4 3 3 2 2" xfId="404" xr:uid="{0E80FE59-FC13-44C2-8B0F-B71D2B96E7A0}"/>
    <cellStyle name="Normal 4 3 3 2 3" xfId="580" xr:uid="{3D91972E-3640-4305-B094-7501CECD5372}"/>
    <cellStyle name="Normal 4 3 3 3" xfId="316" xr:uid="{C71C6034-7F4F-4BD1-8938-B22847BB58F2}"/>
    <cellStyle name="Normal 4 3 3 4" xfId="492" xr:uid="{28FBF60D-95DE-4B51-8C89-A0A7CC2D2443}"/>
    <cellStyle name="Normal 4 3 4" xfId="183" xr:uid="{9096EE0A-1D60-4C04-B187-39797F5A6A99}"/>
    <cellStyle name="Normal 4 3 4 2" xfId="359" xr:uid="{EDAE8F5C-8649-46A6-B7DB-F0A394C8AC8B}"/>
    <cellStyle name="Normal 4 3 4 3" xfId="535" xr:uid="{61E7C46B-5123-4A23-8C9C-803D43C057FE}"/>
    <cellStyle name="Normal 4 3 5" xfId="271" xr:uid="{9087DAAD-7CA8-42C0-B6C9-3782E3A1AE31}"/>
    <cellStyle name="Normal 4 3 6" xfId="447" xr:uid="{F6CCAAFB-976B-4289-A701-1A517B7BDB6E}"/>
    <cellStyle name="Normal 4 4" xfId="103" xr:uid="{4C811E59-CFAB-41EC-AC36-4A36EFB780A3}"/>
    <cellStyle name="Normal 4 4 2" xfId="151" xr:uid="{5FC9A798-4D67-4D04-AC2B-B08B017136CC}"/>
    <cellStyle name="Normal 4 4 2 2" xfId="239" xr:uid="{56480648-1A09-4BEA-8D01-7AF15A58EFC3}"/>
    <cellStyle name="Normal 4 4 2 2 2" xfId="415" xr:uid="{7EDEE577-DB99-47D3-8A72-4B3AD42CEDFB}"/>
    <cellStyle name="Normal 4 4 2 2 3" xfId="591" xr:uid="{6A21642A-4381-46F7-8B1F-93D65127F5B4}"/>
    <cellStyle name="Normal 4 4 2 3" xfId="327" xr:uid="{3EB94629-88A3-4C35-9094-C380F1E6D6FB}"/>
    <cellStyle name="Normal 4 4 2 4" xfId="503" xr:uid="{66AECCAE-0C02-4C25-9EAE-5022286CD159}"/>
    <cellStyle name="Normal 4 4 3" xfId="194" xr:uid="{A4579DEE-C038-44C2-B7BE-8DC9375E9374}"/>
    <cellStyle name="Normal 4 4 3 2" xfId="370" xr:uid="{FC98EF6C-DF8C-4C59-82D3-70A09E2548E2}"/>
    <cellStyle name="Normal 4 4 3 3" xfId="546" xr:uid="{6E5062AE-C75A-4589-872B-3475410FCC8D}"/>
    <cellStyle name="Normal 4 4 4" xfId="282" xr:uid="{9CAAE7B5-C483-4CA8-A553-370376D74C95}"/>
    <cellStyle name="Normal 4 4 5" xfId="458" xr:uid="{06F42C9D-DAB1-4143-B0C8-E9FFCBDCC353}"/>
    <cellStyle name="Normal 4 5" xfId="130" xr:uid="{530BEC36-0889-44D2-94AF-DC8C7CD7EE48}"/>
    <cellStyle name="Normal 4 5 2" xfId="218" xr:uid="{265330C0-102B-4120-8646-DF7B1F8FB5C1}"/>
    <cellStyle name="Normal 4 5 2 2" xfId="394" xr:uid="{C53CD244-34B5-4627-ACF7-543B352BFE8F}"/>
    <cellStyle name="Normal 4 5 2 3" xfId="570" xr:uid="{5ADB19A0-6BF3-4C19-BBAF-DC7D062D7ED3}"/>
    <cellStyle name="Normal 4 5 3" xfId="306" xr:uid="{EAEA093C-A32C-42CB-830F-5ABFEA0D98EF}"/>
    <cellStyle name="Normal 4 5 4" xfId="482" xr:uid="{C91A3B2D-4F13-4D4E-AEA2-D74BAECA9819}"/>
    <cellStyle name="Normal 4 6" xfId="173" xr:uid="{7B352356-E5E2-4317-892B-4DC994650810}"/>
    <cellStyle name="Normal 4 6 2" xfId="349" xr:uid="{4FF74501-064D-4D85-AA7A-8A5D11EC9571}"/>
    <cellStyle name="Normal 4 6 3" xfId="525" xr:uid="{07C9C85A-0450-4C10-9744-EA6C8CB20EA9}"/>
    <cellStyle name="Normal 4 7" xfId="261" xr:uid="{9F6195AE-FF6A-4FC1-9035-3CBAE0127D82}"/>
    <cellStyle name="Normal 4 8" xfId="437" xr:uid="{EC18D018-53A2-46FA-B4D6-29A52C0C0E0A}"/>
    <cellStyle name="Normal 5" xfId="72" xr:uid="{1166FD7D-A766-4360-8DDA-B741CE314CC2}"/>
    <cellStyle name="Normal 6" xfId="99" xr:uid="{3615BA30-0411-4FD4-AA5D-B7E79AD6560B}"/>
    <cellStyle name="Normal 6 2" xfId="120" xr:uid="{EAC79AC3-A8E6-4D60-AC3E-CB13E6114B50}"/>
    <cellStyle name="Normal 6 2 2" xfId="168" xr:uid="{BC420200-8010-48FD-BDA7-280FB160623D}"/>
    <cellStyle name="Normal 6 2 2 2" xfId="256" xr:uid="{211BF0C7-91F7-4877-861A-8EC40C6D8470}"/>
    <cellStyle name="Normal 6 2 2 2 2" xfId="432" xr:uid="{BA9710D3-8100-41E8-8374-10EF321F3A82}"/>
    <cellStyle name="Normal 6 2 2 2 3" xfId="608" xr:uid="{003230E1-ADB6-446C-94F5-BCD5723E5A5D}"/>
    <cellStyle name="Normal 6 2 2 3" xfId="344" xr:uid="{424ADC13-7CDE-4577-83E0-4884D3917429}"/>
    <cellStyle name="Normal 6 2 2 4" xfId="520" xr:uid="{89D598FE-9E43-403B-98D3-3837B605847B}"/>
    <cellStyle name="Normal 6 2 3" xfId="211" xr:uid="{95DC5D86-E141-4512-9CF9-A3462478AFBB}"/>
    <cellStyle name="Normal 6 2 3 2" xfId="387" xr:uid="{D30D7A8C-EC82-42A4-A50B-FBEA65C4D49B}"/>
    <cellStyle name="Normal 6 2 3 3" xfId="563" xr:uid="{9EAE5B8C-7AC6-4D1C-8D49-0E5D699D8BBE}"/>
    <cellStyle name="Normal 6 2 4" xfId="299" xr:uid="{79AC6272-D1C2-45AC-8C72-583DB7C432A7}"/>
    <cellStyle name="Normal 6 2 5" xfId="475" xr:uid="{6B9CAFBD-29F0-4A08-A2EC-F25C3ED54448}"/>
    <cellStyle name="Normal 6 3" xfId="147" xr:uid="{CD9367BC-2857-4D0A-93B0-99414496837D}"/>
    <cellStyle name="Normal 6 3 2" xfId="235" xr:uid="{BD5FFBD2-B62A-4DC4-9AF0-350E968219F2}"/>
    <cellStyle name="Normal 6 3 2 2" xfId="411" xr:uid="{ACFEA5EE-4CCC-4379-8606-27C66E293054}"/>
    <cellStyle name="Normal 6 3 2 3" xfId="587" xr:uid="{4F1A3692-7E53-4339-8836-06C442F1A9BD}"/>
    <cellStyle name="Normal 6 3 3" xfId="323" xr:uid="{7D49A2C7-9A2E-4C3B-8167-03CBCB4F77D7}"/>
    <cellStyle name="Normal 6 3 4" xfId="499" xr:uid="{95923DEB-AD02-408A-952B-88A93F2CA64B}"/>
    <cellStyle name="Normal 6 4" xfId="190" xr:uid="{0C6C833A-6C86-42A9-AEAC-08A8471915ED}"/>
    <cellStyle name="Normal 6 4 2" xfId="366" xr:uid="{968B624B-A092-4FEA-B0A2-36F171F43904}"/>
    <cellStyle name="Normal 6 4 3" xfId="542" xr:uid="{08A85A53-8C11-43CE-AFE3-76CE775E8D69}"/>
    <cellStyle name="Normal 6 5" xfId="278" xr:uid="{8940D984-40E1-4B43-A7B1-0982979DC0CC}"/>
    <cellStyle name="Normal 6 6" xfId="454" xr:uid="{7D241016-BC5F-481C-8558-8743932BEBD2}"/>
    <cellStyle name="Normal 7" xfId="121" xr:uid="{672F2957-31C5-44C0-A802-64815CDC457A}"/>
    <cellStyle name="Normal 7 2" xfId="169" xr:uid="{AB306A40-91F4-427B-BF73-BEF8D8D3D780}"/>
    <cellStyle name="Normal 7 2 2" xfId="257" xr:uid="{D249008F-9370-4556-9032-77711822FBC3}"/>
    <cellStyle name="Normal 7 2 2 2" xfId="433" xr:uid="{DA893F25-1EBB-4B0C-A826-780BC5A0840C}"/>
    <cellStyle name="Normal 7 2 2 3" xfId="609" xr:uid="{2E09D0E3-1AC7-4D62-AF5F-3B12AB950F15}"/>
    <cellStyle name="Normal 7 2 3" xfId="345" xr:uid="{045F8994-0BA4-45EF-8792-460C4B2A9F38}"/>
    <cellStyle name="Normal 7 2 4" xfId="521" xr:uid="{D738A5E6-D741-438C-9D5E-5A7BF159188A}"/>
    <cellStyle name="Normal 7 3" xfId="212" xr:uid="{8E102939-8CD4-45C0-B342-DD695EC30C5D}"/>
    <cellStyle name="Normal 7 3 2" xfId="388" xr:uid="{93B3C0AD-0CAE-4281-B432-1CDC9DB70821}"/>
    <cellStyle name="Normal 7 3 3" xfId="564" xr:uid="{D2078499-256E-40E8-894A-C41A74041559}"/>
    <cellStyle name="Normal 7 4" xfId="300" xr:uid="{33153F1D-69CF-41EB-A2F0-73DA7BA1726A}"/>
    <cellStyle name="Normal 7 5" xfId="476" xr:uid="{2795645B-E501-4E7B-AC86-B5824B1EEEB7}"/>
    <cellStyle name="Normal 8" xfId="125" xr:uid="{0FE1D639-37E0-4A5E-B7D6-2ED546E9862D}"/>
    <cellStyle name="Normal 8 2" xfId="213" xr:uid="{0944006B-0478-4AB4-A567-3E49E4525C51}"/>
    <cellStyle name="Normal 8 2 2" xfId="389" xr:uid="{403D7DFB-C739-489F-866F-BD8DFE20A569}"/>
    <cellStyle name="Normal 8 2 3" xfId="565" xr:uid="{FA09548F-7909-4961-A8CC-339A9595C2E1}"/>
    <cellStyle name="Normal 8 3" xfId="301" xr:uid="{F6685686-04DC-43CA-AA9C-1B44CE6E67E9}"/>
    <cellStyle name="Normal 8 4" xfId="477" xr:uid="{4ADDD4E3-DBE6-4BE9-9B76-EDFD37B61323}"/>
    <cellStyle name="Normal 9" xfId="126" xr:uid="{794D2826-D2A6-4DC1-8A18-F9CEEE436730}"/>
    <cellStyle name="Normal 9 2" xfId="214" xr:uid="{C2C8E7E2-90ED-4FEB-A35E-76554F3E46BA}"/>
    <cellStyle name="Normal 9 2 2" xfId="390" xr:uid="{A0EFB3BF-7688-4638-9135-7E5466A04D36}"/>
    <cellStyle name="Normal 9 2 3" xfId="566" xr:uid="{8C927B6D-5FF8-4EF1-8F07-06640B61E6B2}"/>
    <cellStyle name="Normal 9 3" xfId="302" xr:uid="{99D52E81-F85C-46DB-B63E-D335A6B8CD41}"/>
    <cellStyle name="Normal 9 4" xfId="478" xr:uid="{8E321B06-2C7C-4CC8-BE17-EBB56090088B}"/>
    <cellStyle name="Normal_Doherty Financials (Base)" xfId="63" xr:uid="{BC4CB6C0-0402-4A4A-8908-AFBDB31C3A62}"/>
    <cellStyle name="Note" xfId="37" builtinId="10" customBuiltin="1"/>
    <cellStyle name="Output" xfId="38" builtinId="21" customBuiltin="1"/>
    <cellStyle name="Percent" xfId="61" builtinId="5"/>
    <cellStyle name="Percent 2" xfId="84" xr:uid="{F628E39A-CF67-4422-8923-0EE11BAD432D}"/>
    <cellStyle name="Percent 2 2" xfId="79" xr:uid="{58E0C383-44B9-4F7D-967B-CAD65C00262E}"/>
    <cellStyle name="Percent 3" xfId="81" xr:uid="{EE8A868F-99DC-43E3-9EC4-625F477E8DE3}"/>
    <cellStyle name="Title" xfId="39" builtinId="15" customBuiltin="1"/>
    <cellStyle name="Title 36" xfId="66" xr:uid="{1D66B2C0-312D-41C0-8CC9-DE27B419562F}"/>
    <cellStyle name="Total" xfId="40" builtinId="25" customBuiltin="1"/>
    <cellStyle name="Warning Text" xfId="41" builtinId="11" customBuiltin="1"/>
  </cellStyles>
  <dxfs count="24">
    <dxf>
      <font>
        <strike val="0"/>
        <color theme="0"/>
      </font>
      <fill>
        <patternFill>
          <bgColor rgb="FF008000"/>
        </patternFill>
      </fill>
    </dxf>
    <dxf>
      <font>
        <b val="0"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</dxf>
    <dxf>
      <font>
        <strike val="0"/>
        <color rgb="FF0070C0"/>
      </font>
    </dxf>
    <dxf>
      <font>
        <strike val="0"/>
        <color theme="0"/>
      </font>
      <fill>
        <patternFill>
          <bgColor rgb="FF008000"/>
        </patternFill>
      </fill>
    </dxf>
    <dxf>
      <font>
        <b val="0"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</dxf>
    <dxf>
      <font>
        <strike val="0"/>
        <color rgb="FF0070C0"/>
      </font>
    </dxf>
    <dxf>
      <font>
        <strike val="0"/>
        <color theme="0"/>
      </font>
      <fill>
        <patternFill>
          <bgColor rgb="FF008000"/>
        </patternFill>
      </fill>
    </dxf>
    <dxf>
      <font>
        <b val="0"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</dxf>
    <dxf>
      <font>
        <strike val="0"/>
        <color rgb="FF0070C0"/>
      </font>
    </dxf>
    <dxf>
      <font>
        <strike val="0"/>
        <color theme="0"/>
      </font>
      <fill>
        <patternFill>
          <bgColor rgb="FF008000"/>
        </patternFill>
      </fill>
    </dxf>
    <dxf>
      <font>
        <b val="0"/>
        <i val="0"/>
        <strike val="0"/>
        <color theme="0"/>
      </font>
      <fill>
        <patternFill>
          <bgColor rgb="FFC00000"/>
        </patternFill>
      </fill>
    </dxf>
    <dxf>
      <fill>
        <patternFill>
          <bgColor rgb="FFFFFF00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</dxf>
    <dxf>
      <font>
        <strike val="0"/>
        <color rgb="FF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F103F"/>
      <rgbColor rgb="0099CC00"/>
      <rgbColor rgb="00CC99FF"/>
      <rgbColor rgb="005F5F5F"/>
      <rgbColor rgb="00EAEAEA"/>
      <rgbColor rgb="00B2B2B2"/>
      <rgbColor rgb="00EAEAEA"/>
      <rgbColor rgb="00292929"/>
      <rgbColor rgb="00000000"/>
      <rgbColor rgb="00FFFFFF"/>
      <rgbColor rgb="00FFFFFF"/>
      <rgbColor rgb="00000000"/>
      <rgbColor rgb="00007A00"/>
      <rgbColor rgb="00969696"/>
      <rgbColor rgb="00C0C0C0"/>
      <rgbColor rgb="00969696"/>
      <rgbColor rgb="000066CC"/>
      <rgbColor rgb="00DF103F"/>
      <rgbColor rgb="00FFCC00"/>
      <rgbColor rgb="00003366"/>
      <rgbColor rgb="00339933"/>
      <rgbColor rgb="00720821"/>
      <rgbColor rgb="00969696"/>
      <rgbColor rgb="0099CC00"/>
      <rgbColor rgb="000066CC"/>
      <rgbColor rgb="00DF103F"/>
      <rgbColor rgb="00FFCC00"/>
      <rgbColor rgb="00003366"/>
      <rgbColor rgb="00339933"/>
      <rgbColor rgb="00720821"/>
      <rgbColor rgb="00969696"/>
      <rgbColor rgb="0099CC00"/>
      <rgbColor rgb="00777777"/>
      <rgbColor rgb="00339933"/>
      <rgbColor rgb="00003366"/>
      <rgbColor rgb="00FFCC00"/>
      <rgbColor rgb="00720821"/>
      <rgbColor rgb="000066CC"/>
      <rgbColor rgb="00969696"/>
      <rgbColor rgb="00DF103F"/>
      <rgbColor rgb="00FF9933"/>
      <rgbColor rgb="00CC0099"/>
      <rgbColor rgb="00B59F93"/>
      <rgbColor rgb="00DDDDDD"/>
      <rgbColor rgb="00CCFFFF"/>
      <rgbColor rgb="00FFFFFF"/>
      <rgbColor rgb="00EAEAEA"/>
      <rgbColor rgb="00FCD5AA"/>
      <rgbColor rgb="00FFFFFF"/>
      <rgbColor rgb="0000FFFF"/>
      <rgbColor rgb="00339933"/>
      <rgbColor rgb="000066CC"/>
      <rgbColor rgb="00E0E0E0"/>
      <rgbColor rgb="009F9F9F"/>
      <rgbColor rgb="00FFFFFF"/>
      <rgbColor rgb="00FFFFFF"/>
    </indexedColors>
    <mruColors>
      <color rgb="FFBF95DF"/>
      <color rgb="FFFF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DS Brand 2021">
  <a:themeElements>
    <a:clrScheme name="TDS Rebrand">
      <a:dk1>
        <a:sysClr val="windowText" lastClr="000000"/>
      </a:dk1>
      <a:lt1>
        <a:sysClr val="window" lastClr="FFFFFF"/>
      </a:lt1>
      <a:dk2>
        <a:srgbClr val="163D22"/>
      </a:dk2>
      <a:lt2>
        <a:srgbClr val="D2D2D2"/>
      </a:lt2>
      <a:accent1>
        <a:srgbClr val="008A00"/>
      </a:accent1>
      <a:accent2>
        <a:srgbClr val="E6F3E6"/>
      </a:accent2>
      <a:accent3>
        <a:srgbClr val="646464"/>
      </a:accent3>
      <a:accent4>
        <a:srgbClr val="E8B400"/>
      </a:accent4>
      <a:accent5>
        <a:srgbClr val="619ABC"/>
      </a:accent5>
      <a:accent6>
        <a:srgbClr val="962C2C"/>
      </a:accent6>
      <a:hlink>
        <a:srgbClr val="3F7596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DS Brand 2021" id="{3053B622-2E96-401C-910A-1ECDD419F645}" vid="{B469F380-DB80-4B43-B2FB-75177700BC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7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  <pageSetUpPr fitToPage="1"/>
  </sheetPr>
  <dimension ref="A1:V85"/>
  <sheetViews>
    <sheetView showGridLines="0" zoomScale="85" zoomScaleNormal="85" zoomScaleSheetLayoutView="100" workbookViewId="0">
      <pane ySplit="13" topLeftCell="A14" activePane="bottomLeft" state="frozen"/>
      <selection pane="bottomLeft" activeCell="B16" sqref="B16"/>
    </sheetView>
  </sheetViews>
  <sheetFormatPr defaultColWidth="8.53515625" defaultRowHeight="12.45" x14ac:dyDescent="0.3"/>
  <cols>
    <col min="1" max="1" width="1.53515625" style="60" customWidth="1"/>
    <col min="2" max="2" width="30.53515625" style="1" customWidth="1"/>
    <col min="3" max="8" width="9.53515625" style="1" customWidth="1"/>
    <col min="9" max="9" width="8.53515625" style="1" customWidth="1"/>
    <col min="10" max="13" width="9.53515625" style="1" customWidth="1"/>
    <col min="14" max="14" width="1.69140625" style="1" customWidth="1"/>
    <col min="15" max="16384" width="8.53515625" style="1"/>
  </cols>
  <sheetData>
    <row r="1" spans="1:19" ht="10.4" customHeight="1" x14ac:dyDescent="0.3"/>
    <row r="2" spans="1:19" s="6" customFormat="1" ht="20.149999999999999" customHeight="1" x14ac:dyDescent="0.35">
      <c r="A2" s="61"/>
      <c r="B2" s="28" t="s">
        <v>0</v>
      </c>
      <c r="C2" s="29"/>
      <c r="D2" s="29"/>
      <c r="E2" s="29"/>
      <c r="F2" s="28"/>
      <c r="G2" s="30"/>
      <c r="H2" s="29"/>
      <c r="I2" s="29"/>
      <c r="J2" s="29"/>
      <c r="K2" s="29"/>
      <c r="L2" s="29"/>
      <c r="M2" s="29"/>
      <c r="N2" s="7"/>
      <c r="O2" s="7"/>
      <c r="P2" s="7"/>
      <c r="Q2" s="7"/>
      <c r="R2" s="7"/>
      <c r="S2" s="7"/>
    </row>
    <row r="3" spans="1:19" ht="15" customHeight="1" x14ac:dyDescent="0.3">
      <c r="B3" s="44"/>
      <c r="C3" s="43"/>
      <c r="D3" s="43"/>
      <c r="E3" s="43"/>
      <c r="F3" s="43"/>
      <c r="G3" s="43"/>
      <c r="H3" s="43"/>
      <c r="I3" s="43"/>
      <c r="J3" s="43"/>
      <c r="K3" s="43"/>
      <c r="L3" s="43"/>
      <c r="M3" s="18" t="str">
        <f ca="1">TEXT(NOW(),"mmmm d, yyyy")&amp;" at "&amp;TEXT(MROUND(NOW(),"00:30"),"h:mm AM/PM")</f>
        <v>June 9, 2026 at 10:30 PM</v>
      </c>
    </row>
    <row r="5" spans="1:19" ht="15" customHeight="1" thickBot="1" x14ac:dyDescent="0.35">
      <c r="B5" s="39" t="s">
        <v>1</v>
      </c>
      <c r="C5" s="42"/>
      <c r="D5" s="42"/>
      <c r="E5" s="42"/>
      <c r="F5" s="42"/>
      <c r="G5" s="42"/>
      <c r="H5" s="42"/>
      <c r="I5" s="42"/>
      <c r="J5" s="40"/>
      <c r="K5" s="42"/>
      <c r="L5" s="40"/>
      <c r="M5" s="42"/>
      <c r="N5" s="18"/>
    </row>
    <row r="6" spans="1:19" ht="5.15" customHeight="1" x14ac:dyDescent="0.3">
      <c r="B6" s="26"/>
      <c r="C6" s="27"/>
      <c r="D6" s="27"/>
      <c r="E6" s="27"/>
      <c r="F6" s="27"/>
      <c r="G6" s="27"/>
      <c r="H6" s="27"/>
      <c r="I6" s="27"/>
      <c r="K6" s="18"/>
      <c r="M6" s="27"/>
    </row>
    <row r="7" spans="1:19" ht="15" customHeight="1" x14ac:dyDescent="0.3">
      <c r="J7" s="12" t="s">
        <v>2</v>
      </c>
      <c r="K7" s="12"/>
      <c r="L7" s="12"/>
      <c r="M7" s="12"/>
    </row>
    <row r="8" spans="1:19" ht="15" customHeight="1" x14ac:dyDescent="0.3">
      <c r="B8" s="5"/>
      <c r="C8" s="13" t="s">
        <v>3</v>
      </c>
      <c r="D8" s="14" t="s">
        <v>4</v>
      </c>
      <c r="E8" s="14" t="s">
        <v>5</v>
      </c>
      <c r="F8" s="14" t="s">
        <v>6</v>
      </c>
      <c r="G8" s="14" t="s">
        <v>7</v>
      </c>
      <c r="H8" s="15" t="s">
        <v>8</v>
      </c>
      <c r="I8" s="5"/>
      <c r="J8" s="17" t="s">
        <v>9</v>
      </c>
      <c r="K8" s="17" t="s">
        <v>10</v>
      </c>
      <c r="L8" s="17" t="s">
        <v>11</v>
      </c>
      <c r="M8" s="17" t="s">
        <v>12</v>
      </c>
      <c r="N8" s="5"/>
    </row>
    <row r="9" spans="1:19" ht="15" customHeight="1" x14ac:dyDescent="0.3">
      <c r="B9" s="5" t="str">
        <f>+B16</f>
        <v>Buyer</v>
      </c>
      <c r="C9" s="53">
        <f t="shared" ref="C9:C10" ca="1" si="0">SUM(D9:G9)</f>
        <v>0</v>
      </c>
      <c r="D9" s="53">
        <f ca="1">+D30</f>
        <v>0</v>
      </c>
      <c r="E9" s="53">
        <f ca="1">+E30</f>
        <v>0</v>
      </c>
      <c r="F9" s="53">
        <f ca="1">+F30</f>
        <v>0</v>
      </c>
      <c r="G9" s="53">
        <f ca="1">+G30</f>
        <v>0</v>
      </c>
      <c r="H9" s="54">
        <f t="shared" ref="H9:H13" ca="1" si="1">IFERROR((F9+G9)/C9,0)</f>
        <v>0</v>
      </c>
      <c r="J9" s="19">
        <f ca="1">+J30</f>
        <v>0</v>
      </c>
      <c r="K9" s="19">
        <f ca="1">+K30</f>
        <v>0</v>
      </c>
      <c r="L9" s="19">
        <f ca="1">+L30</f>
        <v>0</v>
      </c>
      <c r="M9" s="19">
        <f ca="1">+M30</f>
        <v>0</v>
      </c>
    </row>
    <row r="10" spans="1:19" ht="15" customHeight="1" x14ac:dyDescent="0.3">
      <c r="B10" s="5" t="str">
        <f>+B33</f>
        <v>Advisor A</v>
      </c>
      <c r="C10" s="53">
        <f t="shared" ca="1" si="0"/>
        <v>0</v>
      </c>
      <c r="D10" s="53">
        <f ca="1">+D47</f>
        <v>0</v>
      </c>
      <c r="E10" s="53">
        <f ca="1">+E47</f>
        <v>0</v>
      </c>
      <c r="F10" s="53">
        <f ca="1">+F47</f>
        <v>0</v>
      </c>
      <c r="G10" s="53">
        <f ca="1">+G47</f>
        <v>0</v>
      </c>
      <c r="H10" s="54">
        <f t="shared" ca="1" si="1"/>
        <v>0</v>
      </c>
      <c r="J10" s="19">
        <f ca="1">+J47</f>
        <v>0</v>
      </c>
      <c r="K10" s="19">
        <f ca="1">+K47</f>
        <v>0</v>
      </c>
      <c r="L10" s="19">
        <f ca="1">+L47</f>
        <v>0</v>
      </c>
      <c r="M10" s="19">
        <f ca="1">+M47</f>
        <v>0</v>
      </c>
    </row>
    <row r="11" spans="1:19" customFormat="1" ht="15" customHeight="1" x14ac:dyDescent="0.3">
      <c r="A11" s="62"/>
      <c r="B11" s="5" t="str">
        <f>+B50</f>
        <v>Advisor B</v>
      </c>
      <c r="C11" s="53">
        <f ca="1">SUM(D11:G11)</f>
        <v>0</v>
      </c>
      <c r="D11" s="53">
        <f ca="1">+D64</f>
        <v>0</v>
      </c>
      <c r="E11" s="53">
        <f ca="1">+E64</f>
        <v>0</v>
      </c>
      <c r="F11" s="53">
        <f ca="1">+F64</f>
        <v>0</v>
      </c>
      <c r="G11" s="53">
        <f ca="1">+G64</f>
        <v>0</v>
      </c>
      <c r="H11" s="54">
        <f ca="1">IFERROR((F11+G11)/C11,0)</f>
        <v>0</v>
      </c>
      <c r="I11" s="1"/>
      <c r="J11" s="19">
        <f ca="1">+J64</f>
        <v>0</v>
      </c>
      <c r="K11" s="19">
        <f ca="1">+K64</f>
        <v>0</v>
      </c>
      <c r="L11" s="19">
        <f ca="1">+L64</f>
        <v>0</v>
      </c>
      <c r="M11" s="19">
        <f ca="1">+M64</f>
        <v>0</v>
      </c>
      <c r="N11" s="1"/>
    </row>
    <row r="12" spans="1:19" customFormat="1" ht="15" customHeight="1" x14ac:dyDescent="0.3">
      <c r="A12" s="62"/>
      <c r="B12" s="46" t="str">
        <f>+B67</f>
        <v>Advisor C</v>
      </c>
      <c r="C12" s="53">
        <f ca="1">SUM(D12:G12)</f>
        <v>0</v>
      </c>
      <c r="D12" s="53">
        <f ca="1">+D81</f>
        <v>0</v>
      </c>
      <c r="E12" s="53">
        <f ca="1">+E81</f>
        <v>0</v>
      </c>
      <c r="F12" s="53">
        <f ca="1">+F81</f>
        <v>0</v>
      </c>
      <c r="G12" s="53">
        <f ca="1">+G81</f>
        <v>0</v>
      </c>
      <c r="H12" s="54">
        <f ca="1">IFERROR((F12+G12)/C12,0)</f>
        <v>0</v>
      </c>
      <c r="I12" s="1"/>
      <c r="J12" s="19">
        <f ca="1">+J81</f>
        <v>0</v>
      </c>
      <c r="K12" s="19">
        <f ca="1">+K81</f>
        <v>0</v>
      </c>
      <c r="L12" s="19">
        <f ca="1">+L81</f>
        <v>0</v>
      </c>
      <c r="M12" s="19">
        <f ca="1">+M81</f>
        <v>0</v>
      </c>
      <c r="N12" s="1"/>
    </row>
    <row r="13" spans="1:19" customFormat="1" ht="15" customHeight="1" x14ac:dyDescent="0.3">
      <c r="A13" s="62"/>
      <c r="B13" s="36" t="s">
        <v>3</v>
      </c>
      <c r="C13" s="55">
        <f ca="1">SUM(C9:C12)</f>
        <v>0</v>
      </c>
      <c r="D13" s="55">
        <f ca="1">SUM(D9:D12)</f>
        <v>0</v>
      </c>
      <c r="E13" s="55">
        <f ca="1">SUM(E9:E12)</f>
        <v>0</v>
      </c>
      <c r="F13" s="55">
        <f ca="1">SUM(F9:F12)</f>
        <v>0</v>
      </c>
      <c r="G13" s="55">
        <f ca="1">SUM(G9:G12)</f>
        <v>0</v>
      </c>
      <c r="H13" s="56">
        <f t="shared" ca="1" si="1"/>
        <v>0</v>
      </c>
      <c r="I13" s="4"/>
      <c r="J13" s="41">
        <f ca="1">SUM(J9:J12)</f>
        <v>0</v>
      </c>
      <c r="K13" s="41">
        <f ca="1">SUM(K9:K12)</f>
        <v>0</v>
      </c>
      <c r="L13" s="41">
        <f ca="1">SUM(L9:L12)</f>
        <v>0</v>
      </c>
      <c r="M13" s="41">
        <f ca="1">SUM(M9:M12)</f>
        <v>0</v>
      </c>
      <c r="N13" s="4"/>
      <c r="O13" s="1"/>
    </row>
    <row r="14" spans="1:19" x14ac:dyDescent="0.3">
      <c r="D14" s="52"/>
      <c r="E14" s="52"/>
      <c r="F14" s="52"/>
      <c r="G14" s="52"/>
      <c r="H14" s="52"/>
      <c r="J14" s="52"/>
      <c r="K14" s="52"/>
      <c r="L14" s="52"/>
      <c r="M14" s="52"/>
    </row>
    <row r="15" spans="1:19" ht="15" customHeight="1" x14ac:dyDescent="0.3"/>
    <row r="16" spans="1:19" ht="15" customHeight="1" thickBot="1" x14ac:dyDescent="0.35">
      <c r="A16" s="62" t="s">
        <v>16</v>
      </c>
      <c r="B16" s="63" t="s">
        <v>28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8"/>
    </row>
    <row r="17" spans="1:13" ht="5.15" customHeight="1" x14ac:dyDescent="0.3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18"/>
    </row>
    <row r="18" spans="1:13" ht="15" customHeight="1" x14ac:dyDescent="0.3">
      <c r="J18" s="12" t="str">
        <f>+$J$7</f>
        <v>Open + Partial Requests by Priority</v>
      </c>
      <c r="K18" s="12"/>
      <c r="L18" s="12"/>
      <c r="M18" s="12"/>
    </row>
    <row r="19" spans="1:13" ht="15" customHeight="1" x14ac:dyDescent="0.3">
      <c r="B19" s="5"/>
      <c r="C19" s="13" t="s">
        <v>3</v>
      </c>
      <c r="D19" s="14" t="s">
        <v>4</v>
      </c>
      <c r="E19" s="14" t="s">
        <v>5</v>
      </c>
      <c r="F19" s="14" t="s">
        <v>6</v>
      </c>
      <c r="G19" s="14" t="s">
        <v>7</v>
      </c>
      <c r="H19" s="15" t="s">
        <v>8</v>
      </c>
      <c r="I19" s="5"/>
      <c r="J19" s="17" t="s">
        <v>9</v>
      </c>
      <c r="K19" s="17" t="s">
        <v>10</v>
      </c>
      <c r="L19" s="17" t="s">
        <v>11</v>
      </c>
      <c r="M19" s="17" t="s">
        <v>12</v>
      </c>
    </row>
    <row r="20" spans="1:13" ht="15" customHeight="1" x14ac:dyDescent="0.3">
      <c r="B20" s="45" t="s">
        <v>13</v>
      </c>
      <c r="C20" s="53">
        <f ca="1">SUM(D20:G20)</f>
        <v>0</v>
      </c>
      <c r="D20" s="53">
        <f ca="1">COUNTIFS(INDIRECT("'"&amp;$B$16&amp;"'!"&amp;"$H$5:$H$500"),D$19,INDIRECT("'"&amp;$B$16&amp;"'!"&amp;"$D$5:$D$500"),$B20)</f>
        <v>0</v>
      </c>
      <c r="E20" s="53">
        <f t="shared" ref="E20:G29" ca="1" si="2">COUNTIFS(INDIRECT("'"&amp;$B$16&amp;"'!"&amp;"$H$5:$H$500"),E$19,INDIRECT("'"&amp;$B$16&amp;"'!"&amp;"$D$5:$D$500"),$B20)</f>
        <v>0</v>
      </c>
      <c r="F20" s="53">
        <f t="shared" ca="1" si="2"/>
        <v>0</v>
      </c>
      <c r="G20" s="53">
        <f t="shared" ca="1" si="2"/>
        <v>0</v>
      </c>
      <c r="H20" s="57">
        <f ca="1">IFERROR((F20+G20)/C20,0)</f>
        <v>0</v>
      </c>
      <c r="J20" s="19">
        <f ca="1">COUNTIFS(INDIRECT("'"&amp;$B$16&amp;"'!"&amp;"$H$5:$H$500"),$D$19,INDIRECT("'"&amp;$B$16&amp;"'!"&amp;"$D$5:$D$500"),$B20, INDIRECT("'"&amp;$B$16&amp;"'!"&amp;"$G$5:$G$500"),J$19)+COUNTIFS(INDIRECT("'"&amp;$B$16&amp;"'!"&amp;"$H$5:$H$500"),$E$19,INDIRECT("'"&amp;$B$16&amp;"'!"&amp;"$D$5:$D$500"),$B20, INDIRECT("'"&amp;$B$16&amp;"'!"&amp;"$G$5:$G$500"),J$19)</f>
        <v>0</v>
      </c>
      <c r="K20" s="19">
        <f t="shared" ref="K20:M29" ca="1" si="3">COUNTIFS(INDIRECT("'"&amp;$B$16&amp;"'!"&amp;"$H$5:$H$500"),$D$19,INDIRECT("'"&amp;$B$16&amp;"'!"&amp;"$D$5:$D$500"),$B20, INDIRECT("'"&amp;$B$16&amp;"'!"&amp;"$G$5:$G$500"),K$19)+COUNTIFS(INDIRECT("'"&amp;$B$16&amp;"'!"&amp;"$H$5:$H$500"),$E$19,INDIRECT("'"&amp;$B$16&amp;"'!"&amp;"$D$5:$D$500"),$B20, INDIRECT("'"&amp;$B$16&amp;"'!"&amp;"$G$5:$G$500"),K$19)</f>
        <v>0</v>
      </c>
      <c r="L20" s="19">
        <f t="shared" ca="1" si="3"/>
        <v>0</v>
      </c>
      <c r="M20" s="19">
        <f t="shared" ca="1" si="3"/>
        <v>0</v>
      </c>
    </row>
    <row r="21" spans="1:13" ht="15" customHeight="1" x14ac:dyDescent="0.3">
      <c r="B21" s="45" t="s">
        <v>13</v>
      </c>
      <c r="C21" s="53">
        <f t="shared" ref="C21" ca="1" si="4">SUM(D21:G21)</f>
        <v>0</v>
      </c>
      <c r="D21" s="53">
        <f t="shared" ref="D21:D29" ca="1" si="5">COUNTIFS(INDIRECT("'"&amp;$B$16&amp;"'!"&amp;"$H$5:$H$500"),D$19,INDIRECT("'"&amp;$B$16&amp;"'!"&amp;"$D$5:$D$500"),$B21)</f>
        <v>0</v>
      </c>
      <c r="E21" s="53">
        <f t="shared" ca="1" si="2"/>
        <v>0</v>
      </c>
      <c r="F21" s="53">
        <f t="shared" ca="1" si="2"/>
        <v>0</v>
      </c>
      <c r="G21" s="53">
        <f t="shared" ca="1" si="2"/>
        <v>0</v>
      </c>
      <c r="H21" s="57">
        <f t="shared" ref="H21" ca="1" si="6">IFERROR((F21+G21)/C21,0)</f>
        <v>0</v>
      </c>
      <c r="J21" s="19">
        <f t="shared" ref="J21:J29" ca="1" si="7">COUNTIFS(INDIRECT("'"&amp;$B$16&amp;"'!"&amp;"$H$5:$H$500"),$D$19,INDIRECT("'"&amp;$B$16&amp;"'!"&amp;"$D$5:$D$500"),$B21, INDIRECT("'"&amp;$B$16&amp;"'!"&amp;"$G$5:$G$500"),J$19)+COUNTIFS(INDIRECT("'"&amp;$B$16&amp;"'!"&amp;"$H$5:$H$500"),$E$19,INDIRECT("'"&amp;$B$16&amp;"'!"&amp;"$D$5:$D$500"),$B21, INDIRECT("'"&amp;$B$16&amp;"'!"&amp;"$G$5:$G$500"),J$19)</f>
        <v>0</v>
      </c>
      <c r="K21" s="19">
        <f t="shared" ca="1" si="3"/>
        <v>0</v>
      </c>
      <c r="L21" s="19">
        <f t="shared" ca="1" si="3"/>
        <v>0</v>
      </c>
      <c r="M21" s="19">
        <f t="shared" ca="1" si="3"/>
        <v>0</v>
      </c>
    </row>
    <row r="22" spans="1:13" ht="15" customHeight="1" x14ac:dyDescent="0.3">
      <c r="B22" s="45" t="s">
        <v>13</v>
      </c>
      <c r="C22" s="53">
        <f t="shared" ref="C22:C29" ca="1" si="8">SUM(D22:G22)</f>
        <v>0</v>
      </c>
      <c r="D22" s="53">
        <f t="shared" ca="1" si="5"/>
        <v>0</v>
      </c>
      <c r="E22" s="53">
        <f t="shared" ca="1" si="2"/>
        <v>0</v>
      </c>
      <c r="F22" s="53">
        <f t="shared" ca="1" si="2"/>
        <v>0</v>
      </c>
      <c r="G22" s="53">
        <f t="shared" ca="1" si="2"/>
        <v>0</v>
      </c>
      <c r="H22" s="57">
        <f t="shared" ref="H22:H29" ca="1" si="9">IFERROR((F22+G22)/C22,0)</f>
        <v>0</v>
      </c>
      <c r="J22" s="19">
        <f t="shared" ca="1" si="7"/>
        <v>0</v>
      </c>
      <c r="K22" s="19">
        <f t="shared" ca="1" si="3"/>
        <v>0</v>
      </c>
      <c r="L22" s="19">
        <f t="shared" ca="1" si="3"/>
        <v>0</v>
      </c>
      <c r="M22" s="19">
        <f t="shared" ca="1" si="3"/>
        <v>0</v>
      </c>
    </row>
    <row r="23" spans="1:13" ht="15" customHeight="1" x14ac:dyDescent="0.3">
      <c r="B23" s="45" t="s">
        <v>13</v>
      </c>
      <c r="C23" s="53">
        <f t="shared" ca="1" si="8"/>
        <v>0</v>
      </c>
      <c r="D23" s="53">
        <f t="shared" ca="1" si="5"/>
        <v>0</v>
      </c>
      <c r="E23" s="53">
        <f t="shared" ca="1" si="2"/>
        <v>0</v>
      </c>
      <c r="F23" s="53">
        <f t="shared" ca="1" si="2"/>
        <v>0</v>
      </c>
      <c r="G23" s="53">
        <f t="shared" ca="1" si="2"/>
        <v>0</v>
      </c>
      <c r="H23" s="57">
        <f t="shared" ca="1" si="9"/>
        <v>0</v>
      </c>
      <c r="J23" s="19">
        <f t="shared" ca="1" si="7"/>
        <v>0</v>
      </c>
      <c r="K23" s="19">
        <f t="shared" ca="1" si="3"/>
        <v>0</v>
      </c>
      <c r="L23" s="19">
        <f t="shared" ca="1" si="3"/>
        <v>0</v>
      </c>
      <c r="M23" s="19">
        <f t="shared" ca="1" si="3"/>
        <v>0</v>
      </c>
    </row>
    <row r="24" spans="1:13" ht="15" customHeight="1" x14ac:dyDescent="0.3">
      <c r="B24" s="45" t="s">
        <v>13</v>
      </c>
      <c r="C24" s="53">
        <f t="shared" ca="1" si="8"/>
        <v>0</v>
      </c>
      <c r="D24" s="53">
        <f t="shared" ca="1" si="5"/>
        <v>0</v>
      </c>
      <c r="E24" s="53">
        <f t="shared" ca="1" si="2"/>
        <v>0</v>
      </c>
      <c r="F24" s="53">
        <f t="shared" ca="1" si="2"/>
        <v>0</v>
      </c>
      <c r="G24" s="53">
        <f t="shared" ca="1" si="2"/>
        <v>0</v>
      </c>
      <c r="H24" s="57">
        <f t="shared" ca="1" si="9"/>
        <v>0</v>
      </c>
      <c r="J24" s="19">
        <f t="shared" ca="1" si="7"/>
        <v>0</v>
      </c>
      <c r="K24" s="19">
        <f t="shared" ca="1" si="3"/>
        <v>0</v>
      </c>
      <c r="L24" s="19">
        <f t="shared" ca="1" si="3"/>
        <v>0</v>
      </c>
      <c r="M24" s="19">
        <f t="shared" ca="1" si="3"/>
        <v>0</v>
      </c>
    </row>
    <row r="25" spans="1:13" ht="15" customHeight="1" x14ac:dyDescent="0.3">
      <c r="B25" s="45" t="s">
        <v>13</v>
      </c>
      <c r="C25" s="53">
        <f t="shared" ca="1" si="8"/>
        <v>0</v>
      </c>
      <c r="D25" s="53">
        <f t="shared" ca="1" si="5"/>
        <v>0</v>
      </c>
      <c r="E25" s="53">
        <f t="shared" ca="1" si="2"/>
        <v>0</v>
      </c>
      <c r="F25" s="53">
        <f t="shared" ca="1" si="2"/>
        <v>0</v>
      </c>
      <c r="G25" s="53">
        <f t="shared" ca="1" si="2"/>
        <v>0</v>
      </c>
      <c r="H25" s="57">
        <f t="shared" ca="1" si="9"/>
        <v>0</v>
      </c>
      <c r="J25" s="19">
        <f t="shared" ca="1" si="7"/>
        <v>0</v>
      </c>
      <c r="K25" s="19">
        <f t="shared" ca="1" si="3"/>
        <v>0</v>
      </c>
      <c r="L25" s="19">
        <f t="shared" ca="1" si="3"/>
        <v>0</v>
      </c>
      <c r="M25" s="19">
        <f t="shared" ca="1" si="3"/>
        <v>0</v>
      </c>
    </row>
    <row r="26" spans="1:13" ht="15" customHeight="1" x14ac:dyDescent="0.3">
      <c r="B26" s="45" t="s">
        <v>13</v>
      </c>
      <c r="C26" s="53">
        <f t="shared" ca="1" si="8"/>
        <v>0</v>
      </c>
      <c r="D26" s="53">
        <f t="shared" ca="1" si="5"/>
        <v>0</v>
      </c>
      <c r="E26" s="53">
        <f t="shared" ca="1" si="2"/>
        <v>0</v>
      </c>
      <c r="F26" s="53">
        <f t="shared" ca="1" si="2"/>
        <v>0</v>
      </c>
      <c r="G26" s="53">
        <f t="shared" ca="1" si="2"/>
        <v>0</v>
      </c>
      <c r="H26" s="57">
        <f t="shared" ca="1" si="9"/>
        <v>0</v>
      </c>
      <c r="J26" s="19">
        <f t="shared" ca="1" si="7"/>
        <v>0</v>
      </c>
      <c r="K26" s="19">
        <f t="shared" ca="1" si="3"/>
        <v>0</v>
      </c>
      <c r="L26" s="19">
        <f t="shared" ca="1" si="3"/>
        <v>0</v>
      </c>
      <c r="M26" s="19">
        <f t="shared" ca="1" si="3"/>
        <v>0</v>
      </c>
    </row>
    <row r="27" spans="1:13" ht="15" customHeight="1" x14ac:dyDescent="0.3">
      <c r="B27" s="45" t="s">
        <v>13</v>
      </c>
      <c r="C27" s="53">
        <f t="shared" ca="1" si="8"/>
        <v>0</v>
      </c>
      <c r="D27" s="53">
        <f t="shared" ca="1" si="5"/>
        <v>0</v>
      </c>
      <c r="E27" s="53">
        <f t="shared" ca="1" si="2"/>
        <v>0</v>
      </c>
      <c r="F27" s="53">
        <f t="shared" ca="1" si="2"/>
        <v>0</v>
      </c>
      <c r="G27" s="53">
        <f t="shared" ca="1" si="2"/>
        <v>0</v>
      </c>
      <c r="H27" s="57">
        <f t="shared" ca="1" si="9"/>
        <v>0</v>
      </c>
      <c r="J27" s="19">
        <f t="shared" ca="1" si="7"/>
        <v>0</v>
      </c>
      <c r="K27" s="19">
        <f t="shared" ca="1" si="3"/>
        <v>0</v>
      </c>
      <c r="L27" s="19">
        <f t="shared" ca="1" si="3"/>
        <v>0</v>
      </c>
      <c r="M27" s="19">
        <f t="shared" ca="1" si="3"/>
        <v>0</v>
      </c>
    </row>
    <row r="28" spans="1:13" ht="15" customHeight="1" x14ac:dyDescent="0.3">
      <c r="B28" s="45" t="s">
        <v>13</v>
      </c>
      <c r="C28" s="53">
        <f t="shared" ca="1" si="8"/>
        <v>0</v>
      </c>
      <c r="D28" s="53">
        <f t="shared" ca="1" si="5"/>
        <v>0</v>
      </c>
      <c r="E28" s="53">
        <f t="shared" ca="1" si="2"/>
        <v>0</v>
      </c>
      <c r="F28" s="53">
        <f t="shared" ca="1" si="2"/>
        <v>0</v>
      </c>
      <c r="G28" s="53">
        <f t="shared" ca="1" si="2"/>
        <v>0</v>
      </c>
      <c r="H28" s="57">
        <f t="shared" ca="1" si="9"/>
        <v>0</v>
      </c>
      <c r="J28" s="19">
        <f t="shared" ca="1" si="7"/>
        <v>0</v>
      </c>
      <c r="K28" s="19">
        <f t="shared" ca="1" si="3"/>
        <v>0</v>
      </c>
      <c r="L28" s="19">
        <f t="shared" ca="1" si="3"/>
        <v>0</v>
      </c>
      <c r="M28" s="19">
        <f t="shared" ca="1" si="3"/>
        <v>0</v>
      </c>
    </row>
    <row r="29" spans="1:13" customFormat="1" ht="15" customHeight="1" x14ac:dyDescent="0.3">
      <c r="A29" s="62"/>
      <c r="B29" s="45" t="s">
        <v>13</v>
      </c>
      <c r="C29" s="53">
        <f t="shared" ca="1" si="8"/>
        <v>0</v>
      </c>
      <c r="D29" s="53">
        <f t="shared" ca="1" si="5"/>
        <v>0</v>
      </c>
      <c r="E29" s="53">
        <f t="shared" ca="1" si="2"/>
        <v>0</v>
      </c>
      <c r="F29" s="53">
        <f t="shared" ca="1" si="2"/>
        <v>0</v>
      </c>
      <c r="G29" s="53">
        <f t="shared" ca="1" si="2"/>
        <v>0</v>
      </c>
      <c r="H29" s="57">
        <f t="shared" ca="1" si="9"/>
        <v>0</v>
      </c>
      <c r="I29" s="1"/>
      <c r="J29" s="19">
        <f t="shared" ca="1" si="7"/>
        <v>0</v>
      </c>
      <c r="K29" s="19">
        <f t="shared" ca="1" si="3"/>
        <v>0</v>
      </c>
      <c r="L29" s="19">
        <f t="shared" ca="1" si="3"/>
        <v>0</v>
      </c>
      <c r="M29" s="19">
        <f t="shared" ca="1" si="3"/>
        <v>0</v>
      </c>
    </row>
    <row r="30" spans="1:13" customFormat="1" ht="15" customHeight="1" x14ac:dyDescent="0.3">
      <c r="A30" s="62"/>
      <c r="B30" s="16" t="s">
        <v>3</v>
      </c>
      <c r="C30" s="58">
        <f ca="1">SUM(C20:C29)</f>
        <v>0</v>
      </c>
      <c r="D30" s="58">
        <f ca="1">SUM(D20:D29)</f>
        <v>0</v>
      </c>
      <c r="E30" s="58">
        <f ca="1">SUM(E20:E29)</f>
        <v>0</v>
      </c>
      <c r="F30" s="58">
        <f ca="1">SUM(F20:F29)</f>
        <v>0</v>
      </c>
      <c r="G30" s="58">
        <f ca="1">SUM(G20:G29)</f>
        <v>0</v>
      </c>
      <c r="H30" s="59">
        <f ca="1">IFERROR((F30+G30)/C30,0)</f>
        <v>0</v>
      </c>
      <c r="I30" s="4"/>
      <c r="J30" s="20">
        <f ca="1">SUM(J20:J29)</f>
        <v>0</v>
      </c>
      <c r="K30" s="20">
        <f ca="1">SUM(K20:K29)</f>
        <v>0</v>
      </c>
      <c r="L30" s="20">
        <f ca="1">SUM(L20:L29)</f>
        <v>0</v>
      </c>
      <c r="M30" s="20">
        <f ca="1">SUM(M20:M29)</f>
        <v>0</v>
      </c>
    </row>
    <row r="31" spans="1:13" x14ac:dyDescent="0.3">
      <c r="J31" s="4"/>
      <c r="K31" s="4"/>
    </row>
    <row r="32" spans="1:13" x14ac:dyDescent="0.3">
      <c r="J32" s="4"/>
      <c r="K32" s="4"/>
    </row>
    <row r="33" spans="1:13" ht="15" customHeight="1" thickBot="1" x14ac:dyDescent="0.35">
      <c r="A33" s="62" t="s">
        <v>16</v>
      </c>
      <c r="B33" s="63" t="s">
        <v>14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8"/>
    </row>
    <row r="34" spans="1:13" ht="5.15" customHeight="1" x14ac:dyDescent="0.3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18"/>
    </row>
    <row r="35" spans="1:13" ht="15" customHeight="1" x14ac:dyDescent="0.3">
      <c r="J35" s="12" t="str">
        <f>+$J$7</f>
        <v>Open + Partial Requests by Priority</v>
      </c>
      <c r="K35" s="12"/>
      <c r="L35" s="12"/>
      <c r="M35" s="12"/>
    </row>
    <row r="36" spans="1:13" ht="15" customHeight="1" x14ac:dyDescent="0.3">
      <c r="B36" s="5"/>
      <c r="C36" s="13" t="s">
        <v>3</v>
      </c>
      <c r="D36" s="14" t="s">
        <v>4</v>
      </c>
      <c r="E36" s="14" t="s">
        <v>5</v>
      </c>
      <c r="F36" s="14" t="s">
        <v>6</v>
      </c>
      <c r="G36" s="14" t="s">
        <v>7</v>
      </c>
      <c r="H36" s="15" t="s">
        <v>8</v>
      </c>
      <c r="I36" s="5"/>
      <c r="J36" s="17" t="s">
        <v>9</v>
      </c>
      <c r="K36" s="17" t="s">
        <v>10</v>
      </c>
      <c r="L36" s="17" t="s">
        <v>11</v>
      </c>
      <c r="M36" s="17" t="s">
        <v>12</v>
      </c>
    </row>
    <row r="37" spans="1:13" ht="15" customHeight="1" x14ac:dyDescent="0.3">
      <c r="B37" s="45" t="s">
        <v>13</v>
      </c>
      <c r="C37" s="53">
        <f ca="1">SUM(D37:G37)</f>
        <v>0</v>
      </c>
      <c r="D37" s="53">
        <f t="shared" ref="D37:G46" ca="1" si="10">COUNTIFS(INDIRECT("'"&amp;$B$33&amp;"'!"&amp;"$H$5:$H$500"),D$19,INDIRECT("'"&amp;$B$33&amp;"'!"&amp;"$D$5:$D$500"),$B37)</f>
        <v>0</v>
      </c>
      <c r="E37" s="53">
        <f t="shared" ca="1" si="10"/>
        <v>0</v>
      </c>
      <c r="F37" s="53">
        <f t="shared" ca="1" si="10"/>
        <v>0</v>
      </c>
      <c r="G37" s="53">
        <f t="shared" ca="1" si="10"/>
        <v>0</v>
      </c>
      <c r="H37" s="57">
        <f ca="1">IFERROR((F37+G37)/C37,0)</f>
        <v>0</v>
      </c>
      <c r="J37" s="53">
        <f t="shared" ref="J37:M46" ca="1" si="11">COUNTIFS(INDIRECT("'"&amp;$B$33&amp;"'!"&amp;"$H$5:$H$500"),$D$19,INDIRECT("'"&amp;$B$33&amp;"'!"&amp;"$D$5:$D$500"),$B37, INDIRECT("'"&amp;$B$33&amp;"'!"&amp;"$G$5:$G$500"),J$19)+COUNTIFS(INDIRECT("'"&amp;$B$33&amp;"'!"&amp;"$H$5:$H$500"),$E$19,INDIRECT("'"&amp;$B$33&amp;"'!"&amp;"$D$5:$D$500"),$B37, INDIRECT("'"&amp;$B$33&amp;"'!"&amp;"$G$5:$G$500"),J$19)</f>
        <v>0</v>
      </c>
      <c r="K37" s="53">
        <f t="shared" ca="1" si="11"/>
        <v>0</v>
      </c>
      <c r="L37" s="53">
        <f t="shared" ca="1" si="11"/>
        <v>0</v>
      </c>
      <c r="M37" s="53">
        <f t="shared" ca="1" si="11"/>
        <v>0</v>
      </c>
    </row>
    <row r="38" spans="1:13" ht="15" customHeight="1" x14ac:dyDescent="0.3">
      <c r="B38" s="45" t="s">
        <v>13</v>
      </c>
      <c r="C38" s="53">
        <f t="shared" ref="C38:C45" ca="1" si="12">SUM(D38:G38)</f>
        <v>0</v>
      </c>
      <c r="D38" s="53">
        <f t="shared" ca="1" si="10"/>
        <v>0</v>
      </c>
      <c r="E38" s="53">
        <f t="shared" ca="1" si="10"/>
        <v>0</v>
      </c>
      <c r="F38" s="53">
        <f t="shared" ca="1" si="10"/>
        <v>0</v>
      </c>
      <c r="G38" s="53">
        <f t="shared" ca="1" si="10"/>
        <v>0</v>
      </c>
      <c r="H38" s="57">
        <f t="shared" ref="H38:H47" ca="1" si="13">IFERROR((F38+G38)/C38,0)</f>
        <v>0</v>
      </c>
      <c r="J38" s="53">
        <f t="shared" ca="1" si="11"/>
        <v>0</v>
      </c>
      <c r="K38" s="53">
        <f t="shared" ca="1" si="11"/>
        <v>0</v>
      </c>
      <c r="L38" s="53">
        <f t="shared" ca="1" si="11"/>
        <v>0</v>
      </c>
      <c r="M38" s="53">
        <f t="shared" ca="1" si="11"/>
        <v>0</v>
      </c>
    </row>
    <row r="39" spans="1:13" ht="15" customHeight="1" x14ac:dyDescent="0.3">
      <c r="B39" s="45" t="s">
        <v>13</v>
      </c>
      <c r="C39" s="53">
        <f t="shared" ca="1" si="12"/>
        <v>0</v>
      </c>
      <c r="D39" s="53">
        <f t="shared" ca="1" si="10"/>
        <v>0</v>
      </c>
      <c r="E39" s="53">
        <f t="shared" ca="1" si="10"/>
        <v>0</v>
      </c>
      <c r="F39" s="53">
        <f t="shared" ca="1" si="10"/>
        <v>0</v>
      </c>
      <c r="G39" s="53">
        <f t="shared" ca="1" si="10"/>
        <v>0</v>
      </c>
      <c r="H39" s="57">
        <f t="shared" ca="1" si="13"/>
        <v>0</v>
      </c>
      <c r="J39" s="53">
        <f t="shared" ca="1" si="11"/>
        <v>0</v>
      </c>
      <c r="K39" s="53">
        <f t="shared" ca="1" si="11"/>
        <v>0</v>
      </c>
      <c r="L39" s="53">
        <f t="shared" ca="1" si="11"/>
        <v>0</v>
      </c>
      <c r="M39" s="53">
        <f t="shared" ca="1" si="11"/>
        <v>0</v>
      </c>
    </row>
    <row r="40" spans="1:13" customFormat="1" ht="15" customHeight="1" x14ac:dyDescent="0.3">
      <c r="A40" s="62"/>
      <c r="B40" s="45" t="s">
        <v>13</v>
      </c>
      <c r="C40" s="53">
        <f t="shared" ref="C40:C41" ca="1" si="14">SUM(D40:G40)</f>
        <v>0</v>
      </c>
      <c r="D40" s="53">
        <f t="shared" ca="1" si="10"/>
        <v>0</v>
      </c>
      <c r="E40" s="53">
        <f t="shared" ca="1" si="10"/>
        <v>0</v>
      </c>
      <c r="F40" s="53">
        <f t="shared" ca="1" si="10"/>
        <v>0</v>
      </c>
      <c r="G40" s="53">
        <f t="shared" ca="1" si="10"/>
        <v>0</v>
      </c>
      <c r="H40" s="57">
        <f t="shared" ref="H40:H41" ca="1" si="15">IFERROR((F40+G40)/C40,0)</f>
        <v>0</v>
      </c>
      <c r="I40" s="1"/>
      <c r="J40" s="53">
        <f t="shared" ca="1" si="11"/>
        <v>0</v>
      </c>
      <c r="K40" s="53">
        <f t="shared" ca="1" si="11"/>
        <v>0</v>
      </c>
      <c r="L40" s="53">
        <f t="shared" ca="1" si="11"/>
        <v>0</v>
      </c>
      <c r="M40" s="53">
        <f t="shared" ca="1" si="11"/>
        <v>0</v>
      </c>
    </row>
    <row r="41" spans="1:13" customFormat="1" ht="15" customHeight="1" x14ac:dyDescent="0.3">
      <c r="A41" s="62"/>
      <c r="B41" s="45" t="s">
        <v>13</v>
      </c>
      <c r="C41" s="53">
        <f t="shared" ca="1" si="14"/>
        <v>0</v>
      </c>
      <c r="D41" s="53">
        <f t="shared" ca="1" si="10"/>
        <v>0</v>
      </c>
      <c r="E41" s="53">
        <f t="shared" ca="1" si="10"/>
        <v>0</v>
      </c>
      <c r="F41" s="53">
        <f t="shared" ca="1" si="10"/>
        <v>0</v>
      </c>
      <c r="G41" s="53">
        <f t="shared" ca="1" si="10"/>
        <v>0</v>
      </c>
      <c r="H41" s="57">
        <f t="shared" ca="1" si="15"/>
        <v>0</v>
      </c>
      <c r="I41" s="1"/>
      <c r="J41" s="53">
        <f t="shared" ca="1" si="11"/>
        <v>0</v>
      </c>
      <c r="K41" s="53">
        <f t="shared" ca="1" si="11"/>
        <v>0</v>
      </c>
      <c r="L41" s="53">
        <f t="shared" ca="1" si="11"/>
        <v>0</v>
      </c>
      <c r="M41" s="53">
        <f t="shared" ca="1" si="11"/>
        <v>0</v>
      </c>
    </row>
    <row r="42" spans="1:13" customFormat="1" ht="15" customHeight="1" x14ac:dyDescent="0.3">
      <c r="A42" s="62"/>
      <c r="B42" s="45" t="s">
        <v>13</v>
      </c>
      <c r="C42" s="53">
        <f t="shared" ca="1" si="12"/>
        <v>0</v>
      </c>
      <c r="D42" s="53">
        <f t="shared" ca="1" si="10"/>
        <v>0</v>
      </c>
      <c r="E42" s="53">
        <f t="shared" ca="1" si="10"/>
        <v>0</v>
      </c>
      <c r="F42" s="53">
        <f t="shared" ca="1" si="10"/>
        <v>0</v>
      </c>
      <c r="G42" s="53">
        <f t="shared" ca="1" si="10"/>
        <v>0</v>
      </c>
      <c r="H42" s="57">
        <f t="shared" ca="1" si="13"/>
        <v>0</v>
      </c>
      <c r="I42" s="1"/>
      <c r="J42" s="53">
        <f t="shared" ca="1" si="11"/>
        <v>0</v>
      </c>
      <c r="K42" s="53">
        <f t="shared" ca="1" si="11"/>
        <v>0</v>
      </c>
      <c r="L42" s="53">
        <f t="shared" ca="1" si="11"/>
        <v>0</v>
      </c>
      <c r="M42" s="53">
        <f t="shared" ca="1" si="11"/>
        <v>0</v>
      </c>
    </row>
    <row r="43" spans="1:13" customFormat="1" ht="15" customHeight="1" x14ac:dyDescent="0.3">
      <c r="A43" s="62"/>
      <c r="B43" s="45" t="s">
        <v>13</v>
      </c>
      <c r="C43" s="53">
        <f t="shared" ca="1" si="12"/>
        <v>0</v>
      </c>
      <c r="D43" s="53">
        <f t="shared" ca="1" si="10"/>
        <v>0</v>
      </c>
      <c r="E43" s="53">
        <f t="shared" ca="1" si="10"/>
        <v>0</v>
      </c>
      <c r="F43" s="53">
        <f t="shared" ca="1" si="10"/>
        <v>0</v>
      </c>
      <c r="G43" s="53">
        <f t="shared" ca="1" si="10"/>
        <v>0</v>
      </c>
      <c r="H43" s="57">
        <f t="shared" ca="1" si="13"/>
        <v>0</v>
      </c>
      <c r="I43" s="1"/>
      <c r="J43" s="53">
        <f t="shared" ca="1" si="11"/>
        <v>0</v>
      </c>
      <c r="K43" s="53">
        <f t="shared" ca="1" si="11"/>
        <v>0</v>
      </c>
      <c r="L43" s="53">
        <f t="shared" ca="1" si="11"/>
        <v>0</v>
      </c>
      <c r="M43" s="53">
        <f t="shared" ca="1" si="11"/>
        <v>0</v>
      </c>
    </row>
    <row r="44" spans="1:13" customFormat="1" ht="15" customHeight="1" x14ac:dyDescent="0.3">
      <c r="A44" s="62"/>
      <c r="B44" s="45" t="s">
        <v>13</v>
      </c>
      <c r="C44" s="53">
        <f t="shared" ca="1" si="12"/>
        <v>0</v>
      </c>
      <c r="D44" s="53">
        <f t="shared" ca="1" si="10"/>
        <v>0</v>
      </c>
      <c r="E44" s="53">
        <f t="shared" ca="1" si="10"/>
        <v>0</v>
      </c>
      <c r="F44" s="53">
        <f t="shared" ca="1" si="10"/>
        <v>0</v>
      </c>
      <c r="G44" s="53">
        <f t="shared" ca="1" si="10"/>
        <v>0</v>
      </c>
      <c r="H44" s="57">
        <f t="shared" ca="1" si="13"/>
        <v>0</v>
      </c>
      <c r="I44" s="1"/>
      <c r="J44" s="53">
        <f t="shared" ca="1" si="11"/>
        <v>0</v>
      </c>
      <c r="K44" s="53">
        <f t="shared" ca="1" si="11"/>
        <v>0</v>
      </c>
      <c r="L44" s="53">
        <f t="shared" ca="1" si="11"/>
        <v>0</v>
      </c>
      <c r="M44" s="53">
        <f t="shared" ca="1" si="11"/>
        <v>0</v>
      </c>
    </row>
    <row r="45" spans="1:13" customFormat="1" ht="15" customHeight="1" x14ac:dyDescent="0.3">
      <c r="A45" s="62"/>
      <c r="B45" s="45" t="s">
        <v>13</v>
      </c>
      <c r="C45" s="53">
        <f t="shared" ca="1" si="12"/>
        <v>0</v>
      </c>
      <c r="D45" s="53">
        <f t="shared" ca="1" si="10"/>
        <v>0</v>
      </c>
      <c r="E45" s="53">
        <f t="shared" ca="1" si="10"/>
        <v>0</v>
      </c>
      <c r="F45" s="53">
        <f t="shared" ca="1" si="10"/>
        <v>0</v>
      </c>
      <c r="G45" s="53">
        <f t="shared" ca="1" si="10"/>
        <v>0</v>
      </c>
      <c r="H45" s="57">
        <f t="shared" ca="1" si="13"/>
        <v>0</v>
      </c>
      <c r="I45" s="1"/>
      <c r="J45" s="53">
        <f t="shared" ca="1" si="11"/>
        <v>0</v>
      </c>
      <c r="K45" s="53">
        <f t="shared" ca="1" si="11"/>
        <v>0</v>
      </c>
      <c r="L45" s="53">
        <f t="shared" ca="1" si="11"/>
        <v>0</v>
      </c>
      <c r="M45" s="53">
        <f t="shared" ca="1" si="11"/>
        <v>0</v>
      </c>
    </row>
    <row r="46" spans="1:13" customFormat="1" ht="15" customHeight="1" x14ac:dyDescent="0.3">
      <c r="A46" s="62"/>
      <c r="B46" s="45" t="s">
        <v>13</v>
      </c>
      <c r="C46" s="53">
        <f ca="1">SUM(D46:G46)</f>
        <v>0</v>
      </c>
      <c r="D46" s="53">
        <f t="shared" ca="1" si="10"/>
        <v>0</v>
      </c>
      <c r="E46" s="53">
        <f t="shared" ca="1" si="10"/>
        <v>0</v>
      </c>
      <c r="F46" s="53">
        <f t="shared" ca="1" si="10"/>
        <v>0</v>
      </c>
      <c r="G46" s="53">
        <f t="shared" ca="1" si="10"/>
        <v>0</v>
      </c>
      <c r="H46" s="57">
        <f ca="1">IFERROR((F46+G46)/C46,0)</f>
        <v>0</v>
      </c>
      <c r="I46" s="1"/>
      <c r="J46" s="53">
        <f t="shared" ca="1" si="11"/>
        <v>0</v>
      </c>
      <c r="K46" s="53">
        <f t="shared" ca="1" si="11"/>
        <v>0</v>
      </c>
      <c r="L46" s="53">
        <f t="shared" ca="1" si="11"/>
        <v>0</v>
      </c>
      <c r="M46" s="53">
        <f t="shared" ca="1" si="11"/>
        <v>0</v>
      </c>
    </row>
    <row r="47" spans="1:13" customFormat="1" ht="15" customHeight="1" x14ac:dyDescent="0.3">
      <c r="A47" s="62"/>
      <c r="B47" s="16" t="s">
        <v>3</v>
      </c>
      <c r="C47" s="58">
        <f ca="1">SUM(C37:C46)</f>
        <v>0</v>
      </c>
      <c r="D47" s="58">
        <f ca="1">SUM(D37:D46)</f>
        <v>0</v>
      </c>
      <c r="E47" s="58">
        <f ca="1">SUM(E37:E46)</f>
        <v>0</v>
      </c>
      <c r="F47" s="58">
        <f ca="1">SUM(F37:F46)</f>
        <v>0</v>
      </c>
      <c r="G47" s="58">
        <f ca="1">SUM(G37:G46)</f>
        <v>0</v>
      </c>
      <c r="H47" s="59">
        <f t="shared" ca="1" si="13"/>
        <v>0</v>
      </c>
      <c r="I47" s="4"/>
      <c r="J47" s="58">
        <f ca="1">SUM(J37:J46)</f>
        <v>0</v>
      </c>
      <c r="K47" s="58">
        <f ca="1">SUM(K37:K46)</f>
        <v>0</v>
      </c>
      <c r="L47" s="58">
        <f ca="1">SUM(L37:L46)</f>
        <v>0</v>
      </c>
      <c r="M47" s="58">
        <f ca="1">SUM(M37:M46)</f>
        <v>0</v>
      </c>
    </row>
    <row r="48" spans="1:13" x14ac:dyDescent="0.3">
      <c r="J48" s="4"/>
      <c r="K48" s="4"/>
    </row>
    <row r="49" spans="1:22" x14ac:dyDescent="0.3">
      <c r="J49" s="4"/>
      <c r="K49" s="4"/>
    </row>
    <row r="50" spans="1:22" ht="15" customHeight="1" thickBot="1" x14ac:dyDescent="0.35">
      <c r="A50" s="62" t="s">
        <v>16</v>
      </c>
      <c r="B50" s="65" t="s">
        <v>15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8"/>
    </row>
    <row r="51" spans="1:22" ht="5.15" customHeight="1" x14ac:dyDescent="0.3">
      <c r="B51" s="26"/>
      <c r="C51" s="27"/>
      <c r="D51" s="27"/>
      <c r="E51" s="27"/>
      <c r="F51" s="27"/>
      <c r="G51" s="27"/>
      <c r="H51" s="27"/>
      <c r="I51" s="27"/>
      <c r="J51" s="27"/>
      <c r="K51" s="27"/>
      <c r="L51" s="18"/>
    </row>
    <row r="52" spans="1:22" ht="15" customHeight="1" x14ac:dyDescent="0.3">
      <c r="J52" s="12" t="str">
        <f>+$J$7</f>
        <v>Open + Partial Requests by Priority</v>
      </c>
      <c r="K52" s="12"/>
      <c r="L52" s="12"/>
      <c r="M52" s="12"/>
    </row>
    <row r="53" spans="1:22" ht="15" customHeight="1" x14ac:dyDescent="0.3">
      <c r="B53" s="5"/>
      <c r="C53" s="13" t="s">
        <v>3</v>
      </c>
      <c r="D53" s="14" t="s">
        <v>4</v>
      </c>
      <c r="E53" s="14" t="s">
        <v>5</v>
      </c>
      <c r="F53" s="14" t="s">
        <v>6</v>
      </c>
      <c r="G53" s="14" t="s">
        <v>7</v>
      </c>
      <c r="H53" s="15" t="s">
        <v>8</v>
      </c>
      <c r="I53" s="5"/>
      <c r="J53" s="17" t="s">
        <v>9</v>
      </c>
      <c r="K53" s="17" t="s">
        <v>10</v>
      </c>
      <c r="L53" s="17" t="s">
        <v>11</v>
      </c>
      <c r="M53" s="17" t="s">
        <v>12</v>
      </c>
    </row>
    <row r="54" spans="1:22" ht="15" customHeight="1" x14ac:dyDescent="0.3">
      <c r="B54" s="45" t="s">
        <v>13</v>
      </c>
      <c r="C54" s="53">
        <f t="shared" ref="C54:C63" ca="1" si="16">SUM(D54:G54)</f>
        <v>0</v>
      </c>
      <c r="D54" s="53">
        <f t="shared" ref="D54:G63" ca="1" si="17">COUNTIFS(INDIRECT("'"&amp;$B$50&amp;"'!"&amp;"$i$5:$i$5000"),D$19,INDIRECT("'"&amp;$B$50&amp;"'!"&amp;"$D$5:$D$5000"),$B54)</f>
        <v>0</v>
      </c>
      <c r="E54" s="53">
        <f t="shared" ca="1" si="17"/>
        <v>0</v>
      </c>
      <c r="F54" s="53">
        <f t="shared" ca="1" si="17"/>
        <v>0</v>
      </c>
      <c r="G54" s="53">
        <f t="shared" ca="1" si="17"/>
        <v>0</v>
      </c>
      <c r="H54" s="57">
        <f t="shared" ref="H54:H63" ca="1" si="18">IFERROR((F54+G54)/C54,0)</f>
        <v>0</v>
      </c>
      <c r="J54" s="53">
        <f t="shared" ref="J54:M63" ca="1" si="19">COUNTIFS(INDIRECT("'"&amp;$B$50&amp;"'!"&amp;"$i$5:$i$5000"),$D$19,INDIRECT("'"&amp;$B$50&amp;"'!"&amp;"$D$5:$D$5000"),$B54, INDIRECT("'"&amp;$B$50&amp;"'!"&amp;"$h$5:$h$5000"),J$19)+COUNTIFS(INDIRECT("'"&amp;$B$50&amp;"'!"&amp;"$i$5:$i$5000"),$E$19,INDIRECT("'"&amp;$B$50&amp;"'!"&amp;"$D$5:$D$5000"),$B54, INDIRECT("'"&amp;$B$50&amp;"'!"&amp;"$h$5:$h$5000"),J$19)</f>
        <v>0</v>
      </c>
      <c r="K54" s="53">
        <f t="shared" ca="1" si="19"/>
        <v>0</v>
      </c>
      <c r="L54" s="53">
        <f t="shared" ca="1" si="19"/>
        <v>0</v>
      </c>
      <c r="M54" s="53">
        <f t="shared" ca="1" si="19"/>
        <v>0</v>
      </c>
    </row>
    <row r="55" spans="1:22" ht="15" customHeight="1" x14ac:dyDescent="0.3">
      <c r="A55" s="62"/>
      <c r="B55" s="45" t="s">
        <v>13</v>
      </c>
      <c r="C55" s="53">
        <f t="shared" ca="1" si="16"/>
        <v>0</v>
      </c>
      <c r="D55" s="53">
        <f t="shared" ca="1" si="17"/>
        <v>0</v>
      </c>
      <c r="E55" s="53">
        <f t="shared" ca="1" si="17"/>
        <v>0</v>
      </c>
      <c r="F55" s="53">
        <f t="shared" ca="1" si="17"/>
        <v>0</v>
      </c>
      <c r="G55" s="53">
        <f t="shared" ca="1" si="17"/>
        <v>0</v>
      </c>
      <c r="H55" s="57">
        <f t="shared" ca="1" si="18"/>
        <v>0</v>
      </c>
      <c r="J55" s="53">
        <f t="shared" ca="1" si="19"/>
        <v>0</v>
      </c>
      <c r="K55" s="53">
        <f t="shared" ca="1" si="19"/>
        <v>0</v>
      </c>
      <c r="L55" s="53">
        <f t="shared" ca="1" si="19"/>
        <v>0</v>
      </c>
      <c r="M55" s="53">
        <f t="shared" ca="1" si="19"/>
        <v>0</v>
      </c>
      <c r="N55"/>
      <c r="O55"/>
      <c r="P55"/>
      <c r="Q55"/>
      <c r="R55"/>
      <c r="S55"/>
      <c r="T55"/>
      <c r="U55"/>
      <c r="V55"/>
    </row>
    <row r="56" spans="1:22" ht="15" customHeight="1" x14ac:dyDescent="0.3">
      <c r="A56" s="62"/>
      <c r="B56" s="45" t="s">
        <v>13</v>
      </c>
      <c r="C56" s="53">
        <f t="shared" ca="1" si="16"/>
        <v>0</v>
      </c>
      <c r="D56" s="53">
        <f t="shared" ca="1" si="17"/>
        <v>0</v>
      </c>
      <c r="E56" s="53">
        <f t="shared" ca="1" si="17"/>
        <v>0</v>
      </c>
      <c r="F56" s="53">
        <f t="shared" ca="1" si="17"/>
        <v>0</v>
      </c>
      <c r="G56" s="53">
        <f t="shared" ca="1" si="17"/>
        <v>0</v>
      </c>
      <c r="H56" s="57">
        <f t="shared" ca="1" si="18"/>
        <v>0</v>
      </c>
      <c r="J56" s="53">
        <f t="shared" ca="1" si="19"/>
        <v>0</v>
      </c>
      <c r="K56" s="53">
        <f t="shared" ca="1" si="19"/>
        <v>0</v>
      </c>
      <c r="L56" s="53">
        <f t="shared" ca="1" si="19"/>
        <v>0</v>
      </c>
      <c r="M56" s="53">
        <f t="shared" ca="1" si="19"/>
        <v>0</v>
      </c>
      <c r="N56"/>
      <c r="O56"/>
      <c r="P56"/>
      <c r="Q56"/>
      <c r="R56"/>
      <c r="S56"/>
      <c r="T56"/>
      <c r="U56"/>
      <c r="V56"/>
    </row>
    <row r="57" spans="1:22" customFormat="1" ht="15" customHeight="1" x14ac:dyDescent="0.3">
      <c r="A57" s="60"/>
      <c r="B57" s="45" t="s">
        <v>13</v>
      </c>
      <c r="C57" s="53">
        <f t="shared" ca="1" si="16"/>
        <v>0</v>
      </c>
      <c r="D57" s="53">
        <f t="shared" ca="1" si="17"/>
        <v>0</v>
      </c>
      <c r="E57" s="53">
        <f t="shared" ca="1" si="17"/>
        <v>0</v>
      </c>
      <c r="F57" s="53">
        <f t="shared" ca="1" si="17"/>
        <v>0</v>
      </c>
      <c r="G57" s="53">
        <f t="shared" ca="1" si="17"/>
        <v>0</v>
      </c>
      <c r="H57" s="57">
        <f t="shared" ca="1" si="18"/>
        <v>0</v>
      </c>
      <c r="I57" s="1"/>
      <c r="J57" s="53">
        <f t="shared" ca="1" si="19"/>
        <v>0</v>
      </c>
      <c r="K57" s="53">
        <f t="shared" ca="1" si="19"/>
        <v>0</v>
      </c>
      <c r="L57" s="53">
        <f t="shared" ca="1" si="19"/>
        <v>0</v>
      </c>
      <c r="M57" s="53">
        <f t="shared" ca="1" si="19"/>
        <v>0</v>
      </c>
      <c r="N57" s="1"/>
      <c r="O57" s="1"/>
      <c r="P57" s="1"/>
      <c r="Q57" s="1"/>
      <c r="R57" s="1"/>
      <c r="S57" s="1"/>
      <c r="T57" s="1"/>
      <c r="U57" s="1"/>
      <c r="V57" s="1"/>
    </row>
    <row r="58" spans="1:22" customFormat="1" ht="15" customHeight="1" x14ac:dyDescent="0.3">
      <c r="A58" s="62"/>
      <c r="B58" s="45" t="s">
        <v>13</v>
      </c>
      <c r="C58" s="53">
        <f t="shared" ref="C58:C59" ca="1" si="20">SUM(D58:G58)</f>
        <v>0</v>
      </c>
      <c r="D58" s="53">
        <f t="shared" ca="1" si="17"/>
        <v>0</v>
      </c>
      <c r="E58" s="53">
        <f t="shared" ca="1" si="17"/>
        <v>0</v>
      </c>
      <c r="F58" s="53">
        <f t="shared" ca="1" si="17"/>
        <v>0</v>
      </c>
      <c r="G58" s="53">
        <f t="shared" ca="1" si="17"/>
        <v>0</v>
      </c>
      <c r="H58" s="57">
        <f t="shared" ref="H58:H59" ca="1" si="21">IFERROR((F58+G58)/C58,0)</f>
        <v>0</v>
      </c>
      <c r="I58" s="1"/>
      <c r="J58" s="53">
        <f t="shared" ca="1" si="19"/>
        <v>0</v>
      </c>
      <c r="K58" s="53">
        <f t="shared" ca="1" si="19"/>
        <v>0</v>
      </c>
      <c r="L58" s="53">
        <f t="shared" ca="1" si="19"/>
        <v>0</v>
      </c>
      <c r="M58" s="53">
        <f t="shared" ca="1" si="19"/>
        <v>0</v>
      </c>
    </row>
    <row r="59" spans="1:22" customFormat="1" ht="15" customHeight="1" x14ac:dyDescent="0.3">
      <c r="A59" s="62"/>
      <c r="B59" s="45" t="s">
        <v>13</v>
      </c>
      <c r="C59" s="53">
        <f t="shared" ca="1" si="20"/>
        <v>0</v>
      </c>
      <c r="D59" s="53">
        <f t="shared" ca="1" si="17"/>
        <v>0</v>
      </c>
      <c r="E59" s="53">
        <f t="shared" ca="1" si="17"/>
        <v>0</v>
      </c>
      <c r="F59" s="53">
        <f t="shared" ca="1" si="17"/>
        <v>0</v>
      </c>
      <c r="G59" s="53">
        <f t="shared" ca="1" si="17"/>
        <v>0</v>
      </c>
      <c r="H59" s="57">
        <f t="shared" ca="1" si="21"/>
        <v>0</v>
      </c>
      <c r="I59" s="1"/>
      <c r="J59" s="53">
        <f t="shared" ca="1" si="19"/>
        <v>0</v>
      </c>
      <c r="K59" s="53">
        <f t="shared" ca="1" si="19"/>
        <v>0</v>
      </c>
      <c r="L59" s="53">
        <f t="shared" ca="1" si="19"/>
        <v>0</v>
      </c>
      <c r="M59" s="53">
        <f t="shared" ca="1" si="19"/>
        <v>0</v>
      </c>
    </row>
    <row r="60" spans="1:22" customFormat="1" ht="15" customHeight="1" x14ac:dyDescent="0.3">
      <c r="A60" s="62"/>
      <c r="B60" s="45" t="s">
        <v>13</v>
      </c>
      <c r="C60" s="53">
        <f t="shared" ca="1" si="16"/>
        <v>0</v>
      </c>
      <c r="D60" s="53">
        <f t="shared" ca="1" si="17"/>
        <v>0</v>
      </c>
      <c r="E60" s="53">
        <f t="shared" ca="1" si="17"/>
        <v>0</v>
      </c>
      <c r="F60" s="53">
        <f t="shared" ca="1" si="17"/>
        <v>0</v>
      </c>
      <c r="G60" s="53">
        <f t="shared" ca="1" si="17"/>
        <v>0</v>
      </c>
      <c r="H60" s="57">
        <f t="shared" ca="1" si="18"/>
        <v>0</v>
      </c>
      <c r="I60" s="1"/>
      <c r="J60" s="53">
        <f t="shared" ca="1" si="19"/>
        <v>0</v>
      </c>
      <c r="K60" s="53">
        <f t="shared" ca="1" si="19"/>
        <v>0</v>
      </c>
      <c r="L60" s="53">
        <f t="shared" ca="1" si="19"/>
        <v>0</v>
      </c>
      <c r="M60" s="53">
        <f t="shared" ca="1" si="19"/>
        <v>0</v>
      </c>
    </row>
    <row r="61" spans="1:22" customFormat="1" ht="15" customHeight="1" x14ac:dyDescent="0.3">
      <c r="A61" s="62"/>
      <c r="B61" s="45" t="s">
        <v>13</v>
      </c>
      <c r="C61" s="53">
        <f t="shared" ca="1" si="16"/>
        <v>0</v>
      </c>
      <c r="D61" s="53">
        <f t="shared" ca="1" si="17"/>
        <v>0</v>
      </c>
      <c r="E61" s="53">
        <f t="shared" ca="1" si="17"/>
        <v>0</v>
      </c>
      <c r="F61" s="53">
        <f t="shared" ca="1" si="17"/>
        <v>0</v>
      </c>
      <c r="G61" s="53">
        <f t="shared" ca="1" si="17"/>
        <v>0</v>
      </c>
      <c r="H61" s="57">
        <f t="shared" ca="1" si="18"/>
        <v>0</v>
      </c>
      <c r="I61" s="1"/>
      <c r="J61" s="53">
        <f t="shared" ca="1" si="19"/>
        <v>0</v>
      </c>
      <c r="K61" s="53">
        <f t="shared" ca="1" si="19"/>
        <v>0</v>
      </c>
      <c r="L61" s="53">
        <f t="shared" ca="1" si="19"/>
        <v>0</v>
      </c>
      <c r="M61" s="53">
        <f t="shared" ca="1" si="19"/>
        <v>0</v>
      </c>
    </row>
    <row r="62" spans="1:22" customFormat="1" ht="15" customHeight="1" x14ac:dyDescent="0.3">
      <c r="A62" s="62"/>
      <c r="B62" s="45" t="s">
        <v>13</v>
      </c>
      <c r="C62" s="53">
        <f t="shared" ca="1" si="16"/>
        <v>0</v>
      </c>
      <c r="D62" s="53">
        <f t="shared" ca="1" si="17"/>
        <v>0</v>
      </c>
      <c r="E62" s="53">
        <f t="shared" ca="1" si="17"/>
        <v>0</v>
      </c>
      <c r="F62" s="53">
        <f t="shared" ca="1" si="17"/>
        <v>0</v>
      </c>
      <c r="G62" s="53">
        <f t="shared" ca="1" si="17"/>
        <v>0</v>
      </c>
      <c r="H62" s="57">
        <f t="shared" ca="1" si="18"/>
        <v>0</v>
      </c>
      <c r="I62" s="1"/>
      <c r="J62" s="53">
        <f t="shared" ca="1" si="19"/>
        <v>0</v>
      </c>
      <c r="K62" s="53">
        <f t="shared" ca="1" si="19"/>
        <v>0</v>
      </c>
      <c r="L62" s="53">
        <f t="shared" ca="1" si="19"/>
        <v>0</v>
      </c>
      <c r="M62" s="53">
        <f t="shared" ca="1" si="19"/>
        <v>0</v>
      </c>
    </row>
    <row r="63" spans="1:22" customFormat="1" ht="15" customHeight="1" x14ac:dyDescent="0.3">
      <c r="A63" s="62"/>
      <c r="B63" s="45" t="s">
        <v>13</v>
      </c>
      <c r="C63" s="53">
        <f t="shared" ca="1" si="16"/>
        <v>0</v>
      </c>
      <c r="D63" s="53">
        <f t="shared" ca="1" si="17"/>
        <v>0</v>
      </c>
      <c r="E63" s="53">
        <f t="shared" ca="1" si="17"/>
        <v>0</v>
      </c>
      <c r="F63" s="53">
        <f t="shared" ca="1" si="17"/>
        <v>0</v>
      </c>
      <c r="G63" s="53">
        <f t="shared" ca="1" si="17"/>
        <v>0</v>
      </c>
      <c r="H63" s="57">
        <f t="shared" ca="1" si="18"/>
        <v>0</v>
      </c>
      <c r="I63" s="1"/>
      <c r="J63" s="53">
        <f t="shared" ca="1" si="19"/>
        <v>0</v>
      </c>
      <c r="K63" s="53">
        <f t="shared" ca="1" si="19"/>
        <v>0</v>
      </c>
      <c r="L63" s="53">
        <f t="shared" ca="1" si="19"/>
        <v>0</v>
      </c>
      <c r="M63" s="53">
        <f t="shared" ca="1" si="19"/>
        <v>0</v>
      </c>
    </row>
    <row r="64" spans="1:22" customFormat="1" ht="15" customHeight="1" x14ac:dyDescent="0.3">
      <c r="A64" s="60"/>
      <c r="B64" s="16" t="s">
        <v>3</v>
      </c>
      <c r="C64" s="58">
        <f ca="1">SUM(C54:C63)</f>
        <v>0</v>
      </c>
      <c r="D64" s="58">
        <f ca="1">SUM(D54:D63)</f>
        <v>0</v>
      </c>
      <c r="E64" s="58">
        <f ca="1">SUM(E54:E63)</f>
        <v>0</v>
      </c>
      <c r="F64" s="58">
        <f ca="1">SUM(F54:F63)</f>
        <v>0</v>
      </c>
      <c r="G64" s="58">
        <f ca="1">SUM(G54:G63)</f>
        <v>0</v>
      </c>
      <c r="H64" s="59">
        <f t="shared" ref="H64" ca="1" si="22">IFERROR((F64+G64)/C64,0)</f>
        <v>0</v>
      </c>
      <c r="I64" s="4"/>
      <c r="J64" s="58">
        <f ca="1">SUM(J54:J63)</f>
        <v>0</v>
      </c>
      <c r="K64" s="58">
        <f ca="1">SUM(K54:K63)</f>
        <v>0</v>
      </c>
      <c r="L64" s="58">
        <f ca="1">SUM(L54:L63)</f>
        <v>0</v>
      </c>
      <c r="M64" s="58">
        <f ca="1">SUM(M54:M63)</f>
        <v>0</v>
      </c>
      <c r="N64" s="1"/>
    </row>
    <row r="65" spans="1:18" x14ac:dyDescent="0.3">
      <c r="A65" s="62" t="s">
        <v>16</v>
      </c>
      <c r="J65" s="4"/>
      <c r="K65" s="4"/>
    </row>
    <row r="66" spans="1:18" x14ac:dyDescent="0.3">
      <c r="J66" s="4"/>
      <c r="K66" s="4"/>
    </row>
    <row r="67" spans="1:18" ht="15" customHeight="1" thickBot="1" x14ac:dyDescent="0.35">
      <c r="B67" s="64" t="s">
        <v>17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8"/>
    </row>
    <row r="68" spans="1:18" ht="5.15" customHeight="1" x14ac:dyDescent="0.3">
      <c r="B68" s="26"/>
      <c r="C68" s="27"/>
      <c r="D68" s="27"/>
      <c r="E68" s="27"/>
      <c r="F68" s="27"/>
      <c r="G68" s="27"/>
      <c r="H68" s="27"/>
      <c r="I68" s="27"/>
      <c r="J68" s="27"/>
      <c r="K68" s="27"/>
      <c r="L68" s="18"/>
    </row>
    <row r="69" spans="1:18" ht="15" customHeight="1" x14ac:dyDescent="0.3">
      <c r="J69" s="12" t="str">
        <f>+$J$7</f>
        <v>Open + Partial Requests by Priority</v>
      </c>
      <c r="K69" s="12"/>
      <c r="L69" s="12"/>
      <c r="M69" s="12"/>
    </row>
    <row r="70" spans="1:18" ht="15" customHeight="1" x14ac:dyDescent="0.3">
      <c r="B70" s="5"/>
      <c r="C70" s="13" t="s">
        <v>3</v>
      </c>
      <c r="D70" s="14" t="s">
        <v>4</v>
      </c>
      <c r="E70" s="14" t="s">
        <v>5</v>
      </c>
      <c r="F70" s="14" t="s">
        <v>6</v>
      </c>
      <c r="G70" s="14" t="s">
        <v>7</v>
      </c>
      <c r="H70" s="15" t="s">
        <v>8</v>
      </c>
      <c r="I70" s="5"/>
      <c r="J70" s="17" t="s">
        <v>9</v>
      </c>
      <c r="K70" s="17" t="s">
        <v>10</v>
      </c>
      <c r="L70" s="17" t="s">
        <v>11</v>
      </c>
      <c r="M70" s="17" t="s">
        <v>12</v>
      </c>
    </row>
    <row r="71" spans="1:18" ht="15" customHeight="1" x14ac:dyDescent="0.3">
      <c r="A71" s="62"/>
      <c r="B71" s="45" t="s">
        <v>13</v>
      </c>
      <c r="C71" s="53">
        <f t="shared" ref="C71:C80" ca="1" si="23">SUM(D71:G71)</f>
        <v>0</v>
      </c>
      <c r="D71" s="53">
        <f t="shared" ref="D71:G80" ca="1" si="24">COUNTIFS(INDIRECT("'"&amp;$B$67&amp;"'!"&amp;"$H$5:$H$500"),D$19,INDIRECT("'"&amp;$B$67&amp;"'!"&amp;"$D$5:$D$500"),$B71)</f>
        <v>0</v>
      </c>
      <c r="E71" s="53">
        <f t="shared" ca="1" si="24"/>
        <v>0</v>
      </c>
      <c r="F71" s="53">
        <f t="shared" ca="1" si="24"/>
        <v>0</v>
      </c>
      <c r="G71" s="53">
        <f t="shared" ca="1" si="24"/>
        <v>0</v>
      </c>
      <c r="H71" s="57">
        <f t="shared" ref="H71:H81" ca="1" si="25">IFERROR((F71+G71)/C71,0)</f>
        <v>0</v>
      </c>
      <c r="J71" s="53">
        <f t="shared" ref="J71:M80" ca="1" si="26">COUNTIFS(INDIRECT("'"&amp;$B$67&amp;"'!"&amp;"$H$5:$H$500"),$D$19,INDIRECT("'"&amp;$B$67&amp;"'!"&amp;"$D$5:$D$500"),$B71, INDIRECT("'"&amp;$B$67&amp;"'!"&amp;"$G$5:$G$500"),J$19)+COUNTIFS(INDIRECT("'"&amp;$B$67&amp;"'!"&amp;"$H$5:$H$500"),$E$19,INDIRECT("'"&amp;$B$67&amp;"'!"&amp;"$D$5:$D$500"),$B71, INDIRECT("'"&amp;$B$67&amp;"'!"&amp;"$G$5:$G$500"),J$19)</f>
        <v>0</v>
      </c>
      <c r="K71" s="53">
        <f t="shared" ca="1" si="26"/>
        <v>0</v>
      </c>
      <c r="L71" s="53">
        <f t="shared" ca="1" si="26"/>
        <v>0</v>
      </c>
      <c r="M71" s="53">
        <f t="shared" ca="1" si="26"/>
        <v>0</v>
      </c>
      <c r="N71"/>
      <c r="O71"/>
      <c r="P71"/>
      <c r="Q71"/>
      <c r="R71"/>
    </row>
    <row r="72" spans="1:18" ht="15" customHeight="1" x14ac:dyDescent="0.3">
      <c r="A72" s="62"/>
      <c r="B72" s="45" t="s">
        <v>13</v>
      </c>
      <c r="C72" s="53">
        <f t="shared" ca="1" si="23"/>
        <v>0</v>
      </c>
      <c r="D72" s="53">
        <f t="shared" ca="1" si="24"/>
        <v>0</v>
      </c>
      <c r="E72" s="53">
        <f t="shared" ca="1" si="24"/>
        <v>0</v>
      </c>
      <c r="F72" s="53">
        <f t="shared" ca="1" si="24"/>
        <v>0</v>
      </c>
      <c r="G72" s="53">
        <f t="shared" ca="1" si="24"/>
        <v>0</v>
      </c>
      <c r="H72" s="57">
        <f t="shared" ca="1" si="25"/>
        <v>0</v>
      </c>
      <c r="J72" s="53">
        <f t="shared" ca="1" si="26"/>
        <v>0</v>
      </c>
      <c r="K72" s="53">
        <f t="shared" ca="1" si="26"/>
        <v>0</v>
      </c>
      <c r="L72" s="53">
        <f t="shared" ca="1" si="26"/>
        <v>0</v>
      </c>
      <c r="M72" s="53">
        <f t="shared" ca="1" si="26"/>
        <v>0</v>
      </c>
      <c r="N72"/>
      <c r="O72"/>
      <c r="P72"/>
      <c r="Q72"/>
      <c r="R72"/>
    </row>
    <row r="73" spans="1:18" ht="15" customHeight="1" x14ac:dyDescent="0.3">
      <c r="A73" s="62"/>
      <c r="B73" s="45" t="s">
        <v>13</v>
      </c>
      <c r="C73" s="53">
        <f t="shared" ca="1" si="23"/>
        <v>0</v>
      </c>
      <c r="D73" s="53">
        <f t="shared" ca="1" si="24"/>
        <v>0</v>
      </c>
      <c r="E73" s="53">
        <f t="shared" ca="1" si="24"/>
        <v>0</v>
      </c>
      <c r="F73" s="53">
        <f t="shared" ca="1" si="24"/>
        <v>0</v>
      </c>
      <c r="G73" s="53">
        <f t="shared" ca="1" si="24"/>
        <v>0</v>
      </c>
      <c r="H73" s="57">
        <f t="shared" ca="1" si="25"/>
        <v>0</v>
      </c>
      <c r="J73" s="53">
        <f t="shared" ca="1" si="26"/>
        <v>0</v>
      </c>
      <c r="K73" s="53">
        <f t="shared" ca="1" si="26"/>
        <v>0</v>
      </c>
      <c r="L73" s="53">
        <f t="shared" ca="1" si="26"/>
        <v>0</v>
      </c>
      <c r="M73" s="53">
        <f t="shared" ca="1" si="26"/>
        <v>0</v>
      </c>
      <c r="N73"/>
      <c r="O73"/>
      <c r="P73"/>
      <c r="Q73"/>
      <c r="R73"/>
    </row>
    <row r="74" spans="1:18" customFormat="1" ht="15" customHeight="1" x14ac:dyDescent="0.3">
      <c r="A74" s="62"/>
      <c r="B74" s="45" t="s">
        <v>13</v>
      </c>
      <c r="C74" s="53">
        <f t="shared" ref="C74:C75" ca="1" si="27">SUM(D74:G74)</f>
        <v>0</v>
      </c>
      <c r="D74" s="53">
        <f t="shared" ca="1" si="24"/>
        <v>0</v>
      </c>
      <c r="E74" s="53">
        <f t="shared" ca="1" si="24"/>
        <v>0</v>
      </c>
      <c r="F74" s="53">
        <f t="shared" ca="1" si="24"/>
        <v>0</v>
      </c>
      <c r="G74" s="53">
        <f t="shared" ca="1" si="24"/>
        <v>0</v>
      </c>
      <c r="H74" s="57">
        <f t="shared" ref="H74:H75" ca="1" si="28">IFERROR((F74+G74)/C74,0)</f>
        <v>0</v>
      </c>
      <c r="I74" s="1"/>
      <c r="J74" s="53">
        <f t="shared" ca="1" si="26"/>
        <v>0</v>
      </c>
      <c r="K74" s="53">
        <f t="shared" ca="1" si="26"/>
        <v>0</v>
      </c>
      <c r="L74" s="53">
        <f t="shared" ca="1" si="26"/>
        <v>0</v>
      </c>
      <c r="M74" s="53">
        <f t="shared" ca="1" si="26"/>
        <v>0</v>
      </c>
    </row>
    <row r="75" spans="1:18" customFormat="1" ht="15" customHeight="1" x14ac:dyDescent="0.3">
      <c r="A75" s="62"/>
      <c r="B75" s="45" t="s">
        <v>13</v>
      </c>
      <c r="C75" s="53">
        <f t="shared" ca="1" si="27"/>
        <v>0</v>
      </c>
      <c r="D75" s="53">
        <f t="shared" ca="1" si="24"/>
        <v>0</v>
      </c>
      <c r="E75" s="53">
        <f t="shared" ca="1" si="24"/>
        <v>0</v>
      </c>
      <c r="F75" s="53">
        <f t="shared" ca="1" si="24"/>
        <v>0</v>
      </c>
      <c r="G75" s="53">
        <f t="shared" ca="1" si="24"/>
        <v>0</v>
      </c>
      <c r="H75" s="57">
        <f t="shared" ca="1" si="28"/>
        <v>0</v>
      </c>
      <c r="I75" s="1"/>
      <c r="J75" s="53">
        <f t="shared" ca="1" si="26"/>
        <v>0</v>
      </c>
      <c r="K75" s="53">
        <f t="shared" ca="1" si="26"/>
        <v>0</v>
      </c>
      <c r="L75" s="53">
        <f t="shared" ca="1" si="26"/>
        <v>0</v>
      </c>
      <c r="M75" s="53">
        <f t="shared" ca="1" si="26"/>
        <v>0</v>
      </c>
    </row>
    <row r="76" spans="1:18" customFormat="1" ht="15" customHeight="1" x14ac:dyDescent="0.3">
      <c r="A76" s="62"/>
      <c r="B76" s="45" t="s">
        <v>13</v>
      </c>
      <c r="C76" s="53">
        <f t="shared" ca="1" si="23"/>
        <v>0</v>
      </c>
      <c r="D76" s="53">
        <f t="shared" ca="1" si="24"/>
        <v>0</v>
      </c>
      <c r="E76" s="53">
        <f t="shared" ca="1" si="24"/>
        <v>0</v>
      </c>
      <c r="F76" s="53">
        <f t="shared" ca="1" si="24"/>
        <v>0</v>
      </c>
      <c r="G76" s="53">
        <f t="shared" ca="1" si="24"/>
        <v>0</v>
      </c>
      <c r="H76" s="57">
        <f t="shared" ca="1" si="25"/>
        <v>0</v>
      </c>
      <c r="I76" s="1"/>
      <c r="J76" s="53">
        <f t="shared" ca="1" si="26"/>
        <v>0</v>
      </c>
      <c r="K76" s="53">
        <f t="shared" ca="1" si="26"/>
        <v>0</v>
      </c>
      <c r="L76" s="53">
        <f t="shared" ca="1" si="26"/>
        <v>0</v>
      </c>
      <c r="M76" s="53">
        <f t="shared" ca="1" si="26"/>
        <v>0</v>
      </c>
    </row>
    <row r="77" spans="1:18" customFormat="1" ht="15" customHeight="1" x14ac:dyDescent="0.3">
      <c r="A77" s="62"/>
      <c r="B77" s="45" t="s">
        <v>13</v>
      </c>
      <c r="C77" s="53">
        <f t="shared" ca="1" si="23"/>
        <v>0</v>
      </c>
      <c r="D77" s="53">
        <f t="shared" ca="1" si="24"/>
        <v>0</v>
      </c>
      <c r="E77" s="53">
        <f t="shared" ca="1" si="24"/>
        <v>0</v>
      </c>
      <c r="F77" s="53">
        <f t="shared" ca="1" si="24"/>
        <v>0</v>
      </c>
      <c r="G77" s="53">
        <f t="shared" ca="1" si="24"/>
        <v>0</v>
      </c>
      <c r="H77" s="57">
        <f t="shared" ca="1" si="25"/>
        <v>0</v>
      </c>
      <c r="I77" s="1"/>
      <c r="J77" s="53">
        <f t="shared" ca="1" si="26"/>
        <v>0</v>
      </c>
      <c r="K77" s="53">
        <f t="shared" ca="1" si="26"/>
        <v>0</v>
      </c>
      <c r="L77" s="53">
        <f t="shared" ca="1" si="26"/>
        <v>0</v>
      </c>
      <c r="M77" s="53">
        <f t="shared" ca="1" si="26"/>
        <v>0</v>
      </c>
    </row>
    <row r="78" spans="1:18" customFormat="1" ht="15" customHeight="1" x14ac:dyDescent="0.3">
      <c r="A78" s="62"/>
      <c r="B78" s="45" t="s">
        <v>13</v>
      </c>
      <c r="C78" s="53">
        <f t="shared" ca="1" si="23"/>
        <v>0</v>
      </c>
      <c r="D78" s="53">
        <f t="shared" ca="1" si="24"/>
        <v>0</v>
      </c>
      <c r="E78" s="53">
        <f t="shared" ca="1" si="24"/>
        <v>0</v>
      </c>
      <c r="F78" s="53">
        <f t="shared" ca="1" si="24"/>
        <v>0</v>
      </c>
      <c r="G78" s="53">
        <f t="shared" ca="1" si="24"/>
        <v>0</v>
      </c>
      <c r="H78" s="57">
        <f t="shared" ca="1" si="25"/>
        <v>0</v>
      </c>
      <c r="I78" s="1"/>
      <c r="J78" s="53">
        <f t="shared" ca="1" si="26"/>
        <v>0</v>
      </c>
      <c r="K78" s="53">
        <f t="shared" ca="1" si="26"/>
        <v>0</v>
      </c>
      <c r="L78" s="53">
        <f t="shared" ca="1" si="26"/>
        <v>0</v>
      </c>
      <c r="M78" s="53">
        <f t="shared" ca="1" si="26"/>
        <v>0</v>
      </c>
    </row>
    <row r="79" spans="1:18" customFormat="1" ht="15" customHeight="1" x14ac:dyDescent="0.3">
      <c r="A79" s="62"/>
      <c r="B79" s="45" t="s">
        <v>13</v>
      </c>
      <c r="C79" s="53">
        <f t="shared" ca="1" si="23"/>
        <v>0</v>
      </c>
      <c r="D79" s="53">
        <f t="shared" ca="1" si="24"/>
        <v>0</v>
      </c>
      <c r="E79" s="53">
        <f t="shared" ca="1" si="24"/>
        <v>0</v>
      </c>
      <c r="F79" s="53">
        <f t="shared" ca="1" si="24"/>
        <v>0</v>
      </c>
      <c r="G79" s="53">
        <f t="shared" ca="1" si="24"/>
        <v>0</v>
      </c>
      <c r="H79" s="57">
        <f t="shared" ca="1" si="25"/>
        <v>0</v>
      </c>
      <c r="I79" s="1"/>
      <c r="J79" s="53">
        <f t="shared" ca="1" si="26"/>
        <v>0</v>
      </c>
      <c r="K79" s="53">
        <f t="shared" ca="1" si="26"/>
        <v>0</v>
      </c>
      <c r="L79" s="53">
        <f t="shared" ca="1" si="26"/>
        <v>0</v>
      </c>
      <c r="M79" s="53">
        <f t="shared" ca="1" si="26"/>
        <v>0</v>
      </c>
    </row>
    <row r="80" spans="1:18" customFormat="1" ht="15" customHeight="1" x14ac:dyDescent="0.3">
      <c r="A80" s="62"/>
      <c r="B80" s="45" t="s">
        <v>13</v>
      </c>
      <c r="C80" s="53">
        <f t="shared" ca="1" si="23"/>
        <v>0</v>
      </c>
      <c r="D80" s="53">
        <f t="shared" ca="1" si="24"/>
        <v>0</v>
      </c>
      <c r="E80" s="53">
        <f t="shared" ca="1" si="24"/>
        <v>0</v>
      </c>
      <c r="F80" s="53">
        <f t="shared" ca="1" si="24"/>
        <v>0</v>
      </c>
      <c r="G80" s="53">
        <f t="shared" ca="1" si="24"/>
        <v>0</v>
      </c>
      <c r="H80" s="57">
        <f t="shared" ca="1" si="25"/>
        <v>0</v>
      </c>
      <c r="I80" s="1"/>
      <c r="J80" s="53">
        <f t="shared" ca="1" si="26"/>
        <v>0</v>
      </c>
      <c r="K80" s="53">
        <f t="shared" ca="1" si="26"/>
        <v>0</v>
      </c>
      <c r="L80" s="53">
        <f t="shared" ca="1" si="26"/>
        <v>0</v>
      </c>
      <c r="M80" s="53">
        <f t="shared" ca="1" si="26"/>
        <v>0</v>
      </c>
    </row>
    <row r="81" spans="1:13" customFormat="1" ht="15" customHeight="1" x14ac:dyDescent="0.3">
      <c r="A81" s="62" t="s">
        <v>16</v>
      </c>
      <c r="B81" s="16" t="s">
        <v>3</v>
      </c>
      <c r="C81" s="58">
        <f ca="1">SUM(C71:C80)</f>
        <v>0</v>
      </c>
      <c r="D81" s="58">
        <f ca="1">SUM(D71:D80)</f>
        <v>0</v>
      </c>
      <c r="E81" s="58">
        <f ca="1">SUM(E71:E80)</f>
        <v>0</v>
      </c>
      <c r="F81" s="58">
        <f ca="1">SUM(F71:F80)</f>
        <v>0</v>
      </c>
      <c r="G81" s="58">
        <f ca="1">SUM(G71:G80)</f>
        <v>0</v>
      </c>
      <c r="H81" s="59">
        <f t="shared" ca="1" si="25"/>
        <v>0</v>
      </c>
      <c r="I81" s="4"/>
      <c r="J81" s="58">
        <f ca="1">SUM(J71:J80)</f>
        <v>0</v>
      </c>
      <c r="K81" s="58">
        <f ca="1">SUM(K71:K80)</f>
        <v>0</v>
      </c>
      <c r="L81" s="58">
        <f ca="1">SUM(L71:L80)</f>
        <v>0</v>
      </c>
      <c r="M81" s="58">
        <f ca="1">SUM(M71:M80)</f>
        <v>0</v>
      </c>
    </row>
    <row r="82" spans="1:13" x14ac:dyDescent="0.3">
      <c r="J82" s="4"/>
      <c r="K82" s="4"/>
    </row>
    <row r="83" spans="1:13" x14ac:dyDescent="0.3">
      <c r="J83" s="4"/>
      <c r="K83" s="4"/>
    </row>
    <row r="84" spans="1:13" x14ac:dyDescent="0.3">
      <c r="B84" s="45"/>
      <c r="J84" s="4"/>
      <c r="K84" s="4"/>
    </row>
    <row r="85" spans="1:13" x14ac:dyDescent="0.3">
      <c r="J85" s="4"/>
      <c r="K85" s="4"/>
    </row>
  </sheetData>
  <sortState xmlns:xlrd2="http://schemas.microsoft.com/office/spreadsheetml/2017/richdata2" ref="A54:V63">
    <sortCondition descending="1" ref="C54:C63"/>
  </sortState>
  <phoneticPr fontId="12" type="noConversion"/>
  <printOptions horizontalCentered="1"/>
  <pageMargins left="0.5" right="0.5" top="0.75" bottom="0.5" header="0" footer="0.5"/>
  <pageSetup scale="72" fitToHeight="0" orientation="portrait" r:id="rId1"/>
  <headerFooter alignWithMargins="0">
    <oddFooter>&amp;L&amp;1#&amp;"Calibri,Regular"&amp;10&amp;K000000Confidential&amp;C&amp;G&amp;R&amp;8&amp;P of &amp;N</oddFooter>
  </headerFooter>
  <rowBreaks count="1" manualBreakCount="1">
    <brk id="49" min="1" max="12" man="1"/>
  </rowBreaks>
  <customProperties>
    <customPr name="Guid" r:id="rId2"/>
  </customProperties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735E-C29E-4E7B-B90B-9985CE38F272}">
  <sheetPr>
    <pageSetUpPr fitToPage="1"/>
  </sheetPr>
  <dimension ref="B1:K104"/>
  <sheetViews>
    <sheetView showGridLines="0" tabSelected="1" zoomScale="85" zoomScaleNormal="85" zoomScaleSheetLayoutView="85" zoomScalePageLayoutView="150" workbookViewId="0">
      <pane xSplit="8" ySplit="4" topLeftCell="I5" activePane="bottomRight" state="frozen"/>
      <selection pane="topRight" activeCell="C5" sqref="C5"/>
      <selection pane="bottomLeft" activeCell="C5" sqref="C5"/>
      <selection pane="bottomRight" activeCell="C5" sqref="C5"/>
    </sheetView>
  </sheetViews>
  <sheetFormatPr defaultColWidth="8.53515625" defaultRowHeight="12.45" x14ac:dyDescent="0.3"/>
  <cols>
    <col min="1" max="1" width="1.53515625" style="1" customWidth="1"/>
    <col min="2" max="2" width="5.53515625" style="1" customWidth="1"/>
    <col min="3" max="3" width="13.4609375" style="1" bestFit="1" customWidth="1"/>
    <col min="4" max="4" width="15.53515625" style="50" customWidth="1"/>
    <col min="5" max="5" width="65.69140625" style="2" customWidth="1"/>
    <col min="6" max="6" width="13.4609375" style="3" customWidth="1"/>
    <col min="7" max="7" width="10.53515625" style="1" bestFit="1" customWidth="1"/>
    <col min="8" max="9" width="10.53515625" style="1" customWidth="1"/>
    <col min="10" max="11" width="65.69140625" style="3" customWidth="1"/>
    <col min="12" max="16384" width="8.53515625" style="1"/>
  </cols>
  <sheetData>
    <row r="1" spans="2:11" s="6" customFormat="1" ht="10.4" customHeight="1" x14ac:dyDescent="0.3">
      <c r="B1" s="8"/>
      <c r="C1" s="8"/>
      <c r="D1" s="47"/>
      <c r="G1" s="7"/>
      <c r="H1" s="7"/>
      <c r="I1" s="7"/>
      <c r="J1" s="7"/>
      <c r="K1" s="7"/>
    </row>
    <row r="2" spans="2:11" s="6" customFormat="1" ht="20.149999999999999" customHeight="1" x14ac:dyDescent="0.3">
      <c r="B2" s="32" t="str">
        <f ca="1">Project&amp;"  |  "&amp;REPLACE(CELL("filename",D1),1,FIND("]",CELL("filename",D1)),"")&amp;" Diligence Tracker"</f>
        <v xml:space="preserve"> Project Beacon  |  Buyer Diligence Tracker</v>
      </c>
      <c r="C2" s="33"/>
      <c r="D2" s="48"/>
      <c r="E2" s="31"/>
      <c r="F2" s="34"/>
      <c r="G2" s="31"/>
      <c r="H2" s="31"/>
      <c r="I2" s="31"/>
      <c r="J2" s="31"/>
      <c r="K2" s="35"/>
    </row>
    <row r="4" spans="2:11" s="23" customFormat="1" ht="24.9" x14ac:dyDescent="0.3">
      <c r="B4" s="25" t="s">
        <v>18</v>
      </c>
      <c r="C4" s="24" t="s">
        <v>19</v>
      </c>
      <c r="D4" s="24" t="s">
        <v>20</v>
      </c>
      <c r="E4" s="25" t="s">
        <v>21</v>
      </c>
      <c r="F4" s="24" t="s">
        <v>22</v>
      </c>
      <c r="G4" s="25" t="s">
        <v>23</v>
      </c>
      <c r="H4" s="25" t="s">
        <v>24</v>
      </c>
      <c r="I4" s="24" t="s">
        <v>25</v>
      </c>
      <c r="J4" s="24" t="s">
        <v>26</v>
      </c>
      <c r="K4" s="24" t="s">
        <v>27</v>
      </c>
    </row>
    <row r="5" spans="2:11" x14ac:dyDescent="0.3">
      <c r="B5" s="9">
        <v>1</v>
      </c>
      <c r="C5" s="10"/>
      <c r="D5" s="49"/>
      <c r="E5" s="21"/>
      <c r="F5" s="22"/>
      <c r="G5" s="9"/>
      <c r="H5" s="9"/>
      <c r="I5" s="10"/>
      <c r="J5" s="11"/>
      <c r="K5" s="11"/>
    </row>
    <row r="6" spans="2:11" x14ac:dyDescent="0.3">
      <c r="B6" s="9">
        <f>MAX(B$5:B5)+1</f>
        <v>2</v>
      </c>
      <c r="C6" s="10"/>
      <c r="D6" s="49"/>
      <c r="E6" s="21"/>
      <c r="F6" s="22"/>
      <c r="G6" s="9"/>
      <c r="H6" s="9"/>
      <c r="I6" s="10"/>
      <c r="J6" s="11"/>
      <c r="K6" s="11"/>
    </row>
    <row r="7" spans="2:11" x14ac:dyDescent="0.3">
      <c r="B7" s="9">
        <f>MAX(B$5:B6)+1</f>
        <v>3</v>
      </c>
      <c r="C7" s="10"/>
      <c r="D7" s="49"/>
      <c r="E7" s="21"/>
      <c r="F7" s="51"/>
      <c r="G7" s="9"/>
      <c r="H7" s="9"/>
      <c r="I7" s="10"/>
      <c r="J7" s="11"/>
      <c r="K7" s="11"/>
    </row>
    <row r="8" spans="2:11" x14ac:dyDescent="0.3">
      <c r="B8" s="9">
        <f>MAX(B$5:B7)+1</f>
        <v>4</v>
      </c>
      <c r="C8" s="10"/>
      <c r="D8" s="49"/>
      <c r="E8" s="21"/>
      <c r="F8" s="22"/>
      <c r="G8" s="9"/>
      <c r="H8" s="9"/>
      <c r="I8" s="10"/>
      <c r="J8" s="11"/>
      <c r="K8" s="11"/>
    </row>
    <row r="9" spans="2:11" x14ac:dyDescent="0.3">
      <c r="B9" s="9">
        <f>MAX(B$5:B8)+1</f>
        <v>5</v>
      </c>
      <c r="C9" s="10"/>
      <c r="D9" s="49"/>
      <c r="E9" s="21"/>
      <c r="F9" s="22"/>
      <c r="G9" s="9"/>
      <c r="H9" s="9"/>
      <c r="I9" s="10"/>
      <c r="J9" s="66"/>
      <c r="K9" s="11"/>
    </row>
    <row r="10" spans="2:11" x14ac:dyDescent="0.3">
      <c r="B10" s="9">
        <f>MAX(B$5:B9)+1</f>
        <v>6</v>
      </c>
      <c r="C10" s="10"/>
      <c r="D10" s="49"/>
      <c r="E10" s="21"/>
      <c r="F10" s="22"/>
      <c r="G10" s="9"/>
      <c r="H10" s="9"/>
      <c r="I10" s="10"/>
      <c r="J10" s="11"/>
      <c r="K10" s="11"/>
    </row>
    <row r="11" spans="2:11" x14ac:dyDescent="0.3">
      <c r="B11" s="9">
        <f>MAX(B$5:B10)+1</f>
        <v>7</v>
      </c>
      <c r="C11" s="10"/>
      <c r="D11" s="49"/>
      <c r="E11" s="21"/>
      <c r="F11" s="22"/>
      <c r="G11" s="9"/>
      <c r="H11" s="9"/>
      <c r="I11" s="10"/>
      <c r="J11" s="11"/>
      <c r="K11" s="11"/>
    </row>
    <row r="12" spans="2:11" x14ac:dyDescent="0.3">
      <c r="B12" s="9">
        <f>MAX(B$5:B11)+1</f>
        <v>8</v>
      </c>
      <c r="C12" s="10"/>
      <c r="D12" s="49"/>
      <c r="E12" s="21"/>
      <c r="F12" s="22"/>
      <c r="G12" s="9"/>
      <c r="H12" s="9"/>
      <c r="I12" s="10"/>
      <c r="J12" s="11"/>
      <c r="K12" s="11"/>
    </row>
    <row r="13" spans="2:11" x14ac:dyDescent="0.3">
      <c r="B13" s="9">
        <f>MAX(B$5:B12)+1</f>
        <v>9</v>
      </c>
      <c r="C13" s="10"/>
      <c r="D13" s="49"/>
      <c r="E13" s="21"/>
      <c r="F13" s="22"/>
      <c r="G13" s="9"/>
      <c r="H13" s="9"/>
      <c r="I13" s="10"/>
      <c r="J13" s="11"/>
      <c r="K13" s="11"/>
    </row>
    <row r="14" spans="2:11" x14ac:dyDescent="0.3">
      <c r="B14" s="9">
        <f>MAX(B$5:B13)+1</f>
        <v>10</v>
      </c>
      <c r="C14" s="10"/>
      <c r="D14" s="49"/>
      <c r="E14" s="21"/>
      <c r="F14" s="22"/>
      <c r="G14" s="9"/>
      <c r="H14" s="9"/>
      <c r="I14" s="10"/>
      <c r="J14" s="11"/>
      <c r="K14" s="11"/>
    </row>
    <row r="15" spans="2:11" x14ac:dyDescent="0.3">
      <c r="B15" s="9">
        <f>MAX(B$5:B14)+1</f>
        <v>11</v>
      </c>
      <c r="C15" s="10"/>
      <c r="D15" s="49"/>
      <c r="E15" s="21"/>
      <c r="F15" s="22"/>
      <c r="G15" s="9"/>
      <c r="H15" s="9"/>
      <c r="I15" s="10"/>
      <c r="J15" s="11"/>
      <c r="K15" s="11"/>
    </row>
    <row r="16" spans="2:11" x14ac:dyDescent="0.3">
      <c r="B16" s="9">
        <f>MAX(B$5:B15)+1</f>
        <v>12</v>
      </c>
      <c r="C16" s="10"/>
      <c r="D16" s="49"/>
      <c r="E16" s="21"/>
      <c r="F16" s="22"/>
      <c r="G16" s="9"/>
      <c r="H16" s="9"/>
      <c r="I16" s="10"/>
      <c r="J16" s="11"/>
      <c r="K16" s="11"/>
    </row>
    <row r="17" spans="2:11" x14ac:dyDescent="0.3">
      <c r="B17" s="9">
        <f>MAX(B$5:B16)+1</f>
        <v>13</v>
      </c>
      <c r="C17" s="10"/>
      <c r="D17" s="49"/>
      <c r="E17" s="21"/>
      <c r="F17" s="22"/>
      <c r="G17" s="9"/>
      <c r="H17" s="9"/>
      <c r="I17" s="10"/>
      <c r="J17" s="11"/>
      <c r="K17" s="11"/>
    </row>
    <row r="18" spans="2:11" x14ac:dyDescent="0.3">
      <c r="B18" s="9">
        <f>MAX(B$5:B17)+1</f>
        <v>14</v>
      </c>
      <c r="C18" s="10"/>
      <c r="D18" s="49"/>
      <c r="E18" s="21"/>
      <c r="F18" s="22"/>
      <c r="G18" s="9"/>
      <c r="H18" s="9"/>
      <c r="I18" s="10"/>
      <c r="J18" s="11"/>
      <c r="K18" s="11"/>
    </row>
    <row r="19" spans="2:11" x14ac:dyDescent="0.3">
      <c r="B19" s="9">
        <f>MAX(B$5:B18)+1</f>
        <v>15</v>
      </c>
      <c r="C19" s="10"/>
      <c r="D19" s="49"/>
      <c r="E19" s="21"/>
      <c r="F19" s="22"/>
      <c r="G19" s="9"/>
      <c r="H19" s="9"/>
      <c r="I19" s="10"/>
      <c r="J19" s="11"/>
      <c r="K19" s="11"/>
    </row>
    <row r="20" spans="2:11" x14ac:dyDescent="0.3">
      <c r="B20" s="9">
        <f>MAX(B$5:B19)+1</f>
        <v>16</v>
      </c>
      <c r="C20" s="10"/>
      <c r="D20" s="49"/>
      <c r="E20" s="21"/>
      <c r="F20" s="22"/>
      <c r="G20" s="9"/>
      <c r="H20" s="9"/>
      <c r="I20" s="10"/>
      <c r="J20" s="11"/>
      <c r="K20" s="11"/>
    </row>
    <row r="21" spans="2:11" x14ac:dyDescent="0.3">
      <c r="B21" s="9">
        <f>MAX(B$5:B20)+1</f>
        <v>17</v>
      </c>
      <c r="C21" s="10"/>
      <c r="D21" s="49"/>
      <c r="E21" s="21"/>
      <c r="F21" s="22"/>
      <c r="G21" s="9"/>
      <c r="H21" s="9"/>
      <c r="I21" s="10"/>
      <c r="J21" s="11"/>
      <c r="K21" s="11"/>
    </row>
    <row r="22" spans="2:11" x14ac:dyDescent="0.3">
      <c r="B22" s="9">
        <f>MAX(B$5:B21)+1</f>
        <v>18</v>
      </c>
      <c r="C22" s="10"/>
      <c r="D22" s="49"/>
      <c r="E22" s="21"/>
      <c r="F22" s="22"/>
      <c r="G22" s="9"/>
      <c r="H22" s="9"/>
      <c r="I22" s="10"/>
      <c r="J22" s="11"/>
      <c r="K22" s="11"/>
    </row>
    <row r="23" spans="2:11" x14ac:dyDescent="0.3">
      <c r="B23" s="9">
        <f>MAX(B$5:B22)+1</f>
        <v>19</v>
      </c>
      <c r="C23" s="10"/>
      <c r="D23" s="49"/>
      <c r="E23" s="21"/>
      <c r="F23" s="22"/>
      <c r="G23" s="9"/>
      <c r="H23" s="9"/>
      <c r="I23" s="10"/>
      <c r="J23" s="11"/>
      <c r="K23" s="11"/>
    </row>
    <row r="24" spans="2:11" x14ac:dyDescent="0.3">
      <c r="B24" s="9">
        <f>MAX(B$5:B23)+1</f>
        <v>20</v>
      </c>
      <c r="C24" s="10"/>
      <c r="D24" s="49"/>
      <c r="E24" s="21"/>
      <c r="F24" s="22"/>
      <c r="G24" s="9"/>
      <c r="H24" s="9"/>
      <c r="I24" s="10"/>
      <c r="J24" s="11"/>
      <c r="K24" s="11"/>
    </row>
    <row r="25" spans="2:11" x14ac:dyDescent="0.3">
      <c r="B25" s="9">
        <f>MAX(B$5:B24)+1</f>
        <v>21</v>
      </c>
      <c r="C25" s="10"/>
      <c r="D25" s="49"/>
      <c r="E25" s="21"/>
      <c r="F25" s="22"/>
      <c r="G25" s="9"/>
      <c r="H25" s="9"/>
      <c r="I25" s="10"/>
      <c r="J25" s="11"/>
      <c r="K25" s="11"/>
    </row>
    <row r="26" spans="2:11" x14ac:dyDescent="0.3">
      <c r="B26" s="9">
        <f>MAX(B$5:B25)+1</f>
        <v>22</v>
      </c>
      <c r="C26" s="10"/>
      <c r="D26" s="49"/>
      <c r="E26" s="21"/>
      <c r="F26" s="22"/>
      <c r="G26" s="9"/>
      <c r="H26" s="9"/>
      <c r="I26" s="10"/>
      <c r="J26" s="11"/>
      <c r="K26" s="11"/>
    </row>
    <row r="27" spans="2:11" x14ac:dyDescent="0.3">
      <c r="B27" s="9">
        <f>MAX(B$5:B26)+1</f>
        <v>23</v>
      </c>
      <c r="C27" s="10"/>
      <c r="D27" s="49"/>
      <c r="E27" s="21"/>
      <c r="F27" s="22"/>
      <c r="G27" s="9"/>
      <c r="H27" s="9"/>
      <c r="I27" s="10"/>
      <c r="J27" s="11"/>
      <c r="K27" s="11"/>
    </row>
    <row r="28" spans="2:11" x14ac:dyDescent="0.3">
      <c r="B28" s="9">
        <f>MAX(B$5:B27)+1</f>
        <v>24</v>
      </c>
      <c r="C28" s="10"/>
      <c r="D28" s="49"/>
      <c r="E28" s="21"/>
      <c r="F28" s="22"/>
      <c r="G28" s="9"/>
      <c r="H28" s="9"/>
      <c r="I28" s="10"/>
      <c r="J28" s="11"/>
      <c r="K28" s="11"/>
    </row>
    <row r="29" spans="2:11" x14ac:dyDescent="0.3">
      <c r="B29" s="9">
        <f>MAX(B$5:B28)+1</f>
        <v>25</v>
      </c>
      <c r="C29" s="10"/>
      <c r="D29" s="49"/>
      <c r="E29" s="21"/>
      <c r="F29" s="22"/>
      <c r="G29" s="9"/>
      <c r="H29" s="9"/>
      <c r="I29" s="10"/>
      <c r="J29" s="11"/>
      <c r="K29" s="11"/>
    </row>
    <row r="30" spans="2:11" x14ac:dyDescent="0.3">
      <c r="B30" s="9">
        <f>MAX(B$5:B29)+1</f>
        <v>26</v>
      </c>
      <c r="C30" s="10"/>
      <c r="D30" s="49"/>
      <c r="E30" s="21"/>
      <c r="F30" s="22"/>
      <c r="G30" s="9"/>
      <c r="H30" s="9"/>
      <c r="I30" s="10"/>
      <c r="J30" s="11"/>
      <c r="K30" s="11"/>
    </row>
    <row r="31" spans="2:11" x14ac:dyDescent="0.3">
      <c r="B31" s="9">
        <f>MAX(B$5:B30)+1</f>
        <v>27</v>
      </c>
      <c r="C31" s="10"/>
      <c r="D31" s="49"/>
      <c r="E31" s="21"/>
      <c r="F31" s="22"/>
      <c r="G31" s="9"/>
      <c r="H31" s="9"/>
      <c r="I31" s="10"/>
      <c r="J31" s="11"/>
      <c r="K31" s="11"/>
    </row>
    <row r="32" spans="2:11" x14ac:dyDescent="0.3">
      <c r="B32" s="9">
        <f>MAX(B$5:B31)+1</f>
        <v>28</v>
      </c>
      <c r="C32" s="10"/>
      <c r="D32" s="49"/>
      <c r="E32" s="21"/>
      <c r="F32" s="22"/>
      <c r="G32" s="9"/>
      <c r="H32" s="9"/>
      <c r="I32" s="10"/>
      <c r="J32" s="11"/>
      <c r="K32" s="11"/>
    </row>
    <row r="33" spans="2:11" x14ac:dyDescent="0.3">
      <c r="B33" s="9">
        <f>MAX(B$5:B32)+1</f>
        <v>29</v>
      </c>
      <c r="C33" s="10"/>
      <c r="D33" s="49"/>
      <c r="E33" s="21"/>
      <c r="F33" s="22"/>
      <c r="G33" s="9"/>
      <c r="H33" s="9"/>
      <c r="I33" s="10"/>
      <c r="J33" s="11"/>
      <c r="K33" s="11"/>
    </row>
    <row r="34" spans="2:11" x14ac:dyDescent="0.3">
      <c r="B34" s="9">
        <f>MAX(B$5:B33)+1</f>
        <v>30</v>
      </c>
      <c r="C34" s="10"/>
      <c r="D34" s="49"/>
      <c r="E34" s="21"/>
      <c r="F34" s="22"/>
      <c r="G34" s="9"/>
      <c r="H34" s="9"/>
      <c r="I34" s="10"/>
      <c r="J34" s="11"/>
      <c r="K34" s="11"/>
    </row>
    <row r="35" spans="2:11" x14ac:dyDescent="0.3">
      <c r="B35" s="9">
        <f>MAX(B$5:B34)+1</f>
        <v>31</v>
      </c>
      <c r="C35" s="10"/>
      <c r="D35" s="49"/>
      <c r="E35" s="21"/>
      <c r="F35" s="22"/>
      <c r="G35" s="9"/>
      <c r="H35" s="9"/>
      <c r="I35" s="10"/>
      <c r="J35" s="11"/>
      <c r="K35" s="11"/>
    </row>
    <row r="36" spans="2:11" x14ac:dyDescent="0.3">
      <c r="B36" s="9">
        <f>MAX(B$5:B35)+1</f>
        <v>32</v>
      </c>
      <c r="C36" s="10"/>
      <c r="D36" s="49"/>
      <c r="E36" s="21"/>
      <c r="F36" s="22"/>
      <c r="G36" s="9"/>
      <c r="H36" s="9"/>
      <c r="I36" s="10"/>
      <c r="J36" s="11"/>
      <c r="K36" s="11"/>
    </row>
    <row r="37" spans="2:11" x14ac:dyDescent="0.3">
      <c r="B37" s="9">
        <f>MAX(B$5:B36)+1</f>
        <v>33</v>
      </c>
      <c r="C37" s="10"/>
      <c r="D37" s="49"/>
      <c r="E37" s="21"/>
      <c r="F37" s="22"/>
      <c r="G37" s="9"/>
      <c r="H37" s="9"/>
      <c r="I37" s="10"/>
      <c r="J37" s="11"/>
      <c r="K37" s="11"/>
    </row>
    <row r="38" spans="2:11" x14ac:dyDescent="0.3">
      <c r="B38" s="9">
        <f>MAX(B$5:B37)+1</f>
        <v>34</v>
      </c>
      <c r="C38" s="10"/>
      <c r="D38" s="49"/>
      <c r="E38" s="21"/>
      <c r="F38" s="22"/>
      <c r="G38" s="9"/>
      <c r="H38" s="9"/>
      <c r="I38" s="10"/>
      <c r="J38" s="11"/>
      <c r="K38" s="11"/>
    </row>
    <row r="39" spans="2:11" x14ac:dyDescent="0.3">
      <c r="B39" s="9">
        <f>MAX(B$5:B38)+1</f>
        <v>35</v>
      </c>
      <c r="C39" s="10"/>
      <c r="D39" s="49"/>
      <c r="E39" s="21"/>
      <c r="F39" s="22"/>
      <c r="G39" s="9"/>
      <c r="H39" s="9"/>
      <c r="I39" s="10"/>
      <c r="J39" s="11"/>
      <c r="K39" s="11"/>
    </row>
    <row r="40" spans="2:11" x14ac:dyDescent="0.3">
      <c r="B40" s="9">
        <f>MAX(B$5:B39)+1</f>
        <v>36</v>
      </c>
      <c r="C40" s="10"/>
      <c r="D40" s="49"/>
      <c r="E40" s="21"/>
      <c r="F40" s="22"/>
      <c r="G40" s="9"/>
      <c r="H40" s="9"/>
      <c r="I40" s="10"/>
      <c r="J40" s="11"/>
      <c r="K40" s="11"/>
    </row>
    <row r="41" spans="2:11" x14ac:dyDescent="0.3">
      <c r="B41" s="9">
        <f>MAX(B$5:B40)+1</f>
        <v>37</v>
      </c>
      <c r="C41" s="10"/>
      <c r="D41" s="49"/>
      <c r="E41" s="21"/>
      <c r="F41" s="22"/>
      <c r="G41" s="9"/>
      <c r="H41" s="9"/>
      <c r="I41" s="10"/>
      <c r="J41" s="11"/>
      <c r="K41" s="11"/>
    </row>
    <row r="42" spans="2:11" x14ac:dyDescent="0.3">
      <c r="B42" s="9">
        <f>MAX(B$5:B41)+1</f>
        <v>38</v>
      </c>
      <c r="C42" s="10"/>
      <c r="D42" s="49"/>
      <c r="E42" s="21"/>
      <c r="F42" s="22"/>
      <c r="G42" s="9"/>
      <c r="H42" s="9"/>
      <c r="I42" s="10"/>
      <c r="J42" s="11"/>
      <c r="K42" s="11"/>
    </row>
    <row r="43" spans="2:11" x14ac:dyDescent="0.3">
      <c r="B43" s="9">
        <f>MAX(B$5:B42)+1</f>
        <v>39</v>
      </c>
      <c r="C43" s="10"/>
      <c r="D43" s="49"/>
      <c r="E43" s="21"/>
      <c r="F43" s="22"/>
      <c r="G43" s="9"/>
      <c r="H43" s="9"/>
      <c r="I43" s="10"/>
      <c r="J43" s="11"/>
      <c r="K43" s="11"/>
    </row>
    <row r="44" spans="2:11" x14ac:dyDescent="0.3">
      <c r="B44" s="9">
        <f>MAX(B$5:B43)+1</f>
        <v>40</v>
      </c>
      <c r="C44" s="10"/>
      <c r="D44" s="49"/>
      <c r="E44" s="21"/>
      <c r="F44" s="22"/>
      <c r="G44" s="9"/>
      <c r="H44" s="9"/>
      <c r="I44" s="10"/>
      <c r="J44" s="11"/>
      <c r="K44" s="11"/>
    </row>
    <row r="45" spans="2:11" x14ac:dyDescent="0.3">
      <c r="B45" s="9">
        <f>MAX(B$5:B44)+1</f>
        <v>41</v>
      </c>
      <c r="C45" s="10"/>
      <c r="D45" s="49"/>
      <c r="E45" s="21"/>
      <c r="F45" s="22"/>
      <c r="G45" s="9"/>
      <c r="H45" s="9"/>
      <c r="I45" s="10"/>
      <c r="J45" s="11"/>
      <c r="K45" s="11"/>
    </row>
    <row r="46" spans="2:11" x14ac:dyDescent="0.3">
      <c r="B46" s="9">
        <f>MAX(B$5:B45)+1</f>
        <v>42</v>
      </c>
      <c r="C46" s="10"/>
      <c r="D46" s="49"/>
      <c r="E46" s="21"/>
      <c r="F46" s="22"/>
      <c r="G46" s="9"/>
      <c r="H46" s="9"/>
      <c r="I46" s="10"/>
      <c r="J46" s="11"/>
      <c r="K46" s="11"/>
    </row>
    <row r="47" spans="2:11" x14ac:dyDescent="0.3">
      <c r="B47" s="9">
        <f>MAX(B$5:B46)+1</f>
        <v>43</v>
      </c>
      <c r="C47" s="10"/>
      <c r="D47" s="49"/>
      <c r="E47" s="21"/>
      <c r="F47" s="22"/>
      <c r="G47" s="9"/>
      <c r="H47" s="9"/>
      <c r="I47" s="10"/>
      <c r="J47" s="11"/>
      <c r="K47" s="11"/>
    </row>
    <row r="48" spans="2:11" x14ac:dyDescent="0.3">
      <c r="B48" s="9">
        <f>MAX(B$5:B47)+1</f>
        <v>44</v>
      </c>
      <c r="C48" s="10"/>
      <c r="D48" s="49"/>
      <c r="E48" s="21"/>
      <c r="F48" s="22"/>
      <c r="G48" s="9"/>
      <c r="H48" s="9"/>
      <c r="I48" s="10"/>
      <c r="J48" s="11"/>
      <c r="K48" s="11"/>
    </row>
    <row r="49" spans="2:11" x14ac:dyDescent="0.3">
      <c r="B49" s="9">
        <f>MAX(B$5:B48)+1</f>
        <v>45</v>
      </c>
      <c r="C49" s="10"/>
      <c r="D49" s="49"/>
      <c r="E49" s="21"/>
      <c r="F49" s="22"/>
      <c r="G49" s="9"/>
      <c r="H49" s="9"/>
      <c r="I49" s="10"/>
      <c r="J49" s="11"/>
      <c r="K49" s="11"/>
    </row>
    <row r="50" spans="2:11" x14ac:dyDescent="0.3">
      <c r="B50" s="9">
        <f>MAX(B$5:B49)+1</f>
        <v>46</v>
      </c>
      <c r="C50" s="10"/>
      <c r="D50" s="49"/>
      <c r="E50" s="21"/>
      <c r="F50" s="22"/>
      <c r="G50" s="9"/>
      <c r="H50" s="9"/>
      <c r="I50" s="10"/>
      <c r="J50" s="11"/>
      <c r="K50" s="11"/>
    </row>
    <row r="51" spans="2:11" x14ac:dyDescent="0.3">
      <c r="B51" s="9">
        <f>MAX(B$5:B50)+1</f>
        <v>47</v>
      </c>
      <c r="C51" s="10"/>
      <c r="D51" s="49"/>
      <c r="E51" s="21"/>
      <c r="F51" s="22"/>
      <c r="G51" s="9"/>
      <c r="H51" s="9"/>
      <c r="I51" s="10"/>
      <c r="J51" s="11"/>
      <c r="K51" s="11"/>
    </row>
    <row r="52" spans="2:11" x14ac:dyDescent="0.3">
      <c r="B52" s="9">
        <f>MAX(B$5:B51)+1</f>
        <v>48</v>
      </c>
      <c r="C52" s="10"/>
      <c r="D52" s="49"/>
      <c r="E52" s="21"/>
      <c r="F52" s="22"/>
      <c r="G52" s="9"/>
      <c r="H52" s="9"/>
      <c r="I52" s="10"/>
      <c r="J52" s="11"/>
      <c r="K52" s="11"/>
    </row>
    <row r="53" spans="2:11" x14ac:dyDescent="0.3">
      <c r="B53" s="9">
        <f>MAX(B$5:B52)+1</f>
        <v>49</v>
      </c>
      <c r="C53" s="10"/>
      <c r="D53" s="49"/>
      <c r="E53" s="21"/>
      <c r="F53" s="22"/>
      <c r="G53" s="9"/>
      <c r="H53" s="9"/>
      <c r="I53" s="10"/>
      <c r="J53" s="11"/>
      <c r="K53" s="11"/>
    </row>
    <row r="54" spans="2:11" x14ac:dyDescent="0.3">
      <c r="B54" s="9">
        <f>MAX(B$5:B53)+1</f>
        <v>50</v>
      </c>
      <c r="C54" s="10"/>
      <c r="D54" s="49"/>
      <c r="E54" s="21"/>
      <c r="F54" s="22"/>
      <c r="G54" s="9"/>
      <c r="H54" s="9"/>
      <c r="I54" s="10"/>
      <c r="J54" s="11"/>
      <c r="K54" s="11"/>
    </row>
    <row r="55" spans="2:11" x14ac:dyDescent="0.3">
      <c r="B55" s="9">
        <f>MAX(B$5:B54)+1</f>
        <v>51</v>
      </c>
      <c r="C55" s="10"/>
      <c r="D55" s="49"/>
      <c r="E55" s="21"/>
      <c r="F55" s="22"/>
      <c r="G55" s="9"/>
      <c r="H55" s="9"/>
      <c r="I55" s="10"/>
      <c r="J55" s="11"/>
      <c r="K55" s="11"/>
    </row>
    <row r="56" spans="2:11" x14ac:dyDescent="0.3">
      <c r="B56" s="9">
        <f>MAX(B$5:B55)+1</f>
        <v>52</v>
      </c>
      <c r="C56" s="10"/>
      <c r="D56" s="49"/>
      <c r="E56" s="21"/>
      <c r="F56" s="22"/>
      <c r="G56" s="9"/>
      <c r="H56" s="9"/>
      <c r="I56" s="10"/>
      <c r="J56" s="11"/>
      <c r="K56" s="11"/>
    </row>
    <row r="57" spans="2:11" x14ac:dyDescent="0.3">
      <c r="B57" s="9">
        <f>MAX(B$5:B56)+1</f>
        <v>53</v>
      </c>
      <c r="C57" s="10"/>
      <c r="D57" s="49"/>
      <c r="E57" s="21"/>
      <c r="F57" s="22"/>
      <c r="G57" s="9"/>
      <c r="H57" s="9"/>
      <c r="I57" s="10"/>
      <c r="J57" s="11"/>
      <c r="K57" s="11"/>
    </row>
    <row r="58" spans="2:11" x14ac:dyDescent="0.3">
      <c r="B58" s="9">
        <f>MAX(B$5:B57)+1</f>
        <v>54</v>
      </c>
      <c r="C58" s="10"/>
      <c r="D58" s="49"/>
      <c r="E58" s="21"/>
      <c r="F58" s="22"/>
      <c r="G58" s="9"/>
      <c r="H58" s="9"/>
      <c r="I58" s="10"/>
      <c r="J58" s="11"/>
      <c r="K58" s="11"/>
    </row>
    <row r="59" spans="2:11" x14ac:dyDescent="0.3">
      <c r="B59" s="9">
        <f>MAX(B$5:B58)+1</f>
        <v>55</v>
      </c>
      <c r="C59" s="10"/>
      <c r="D59" s="49"/>
      <c r="E59" s="21"/>
      <c r="F59" s="22"/>
      <c r="G59" s="9"/>
      <c r="H59" s="9"/>
      <c r="I59" s="10"/>
      <c r="J59" s="11"/>
      <c r="K59" s="11"/>
    </row>
    <row r="60" spans="2:11" x14ac:dyDescent="0.3">
      <c r="B60" s="9">
        <f>MAX(B$5:B59)+1</f>
        <v>56</v>
      </c>
      <c r="C60" s="10"/>
      <c r="D60" s="49"/>
      <c r="E60" s="21"/>
      <c r="F60" s="22"/>
      <c r="G60" s="9"/>
      <c r="H60" s="9"/>
      <c r="I60" s="10"/>
      <c r="J60" s="11"/>
      <c r="K60" s="11"/>
    </row>
    <row r="61" spans="2:11" x14ac:dyDescent="0.3">
      <c r="B61" s="9">
        <f>MAX(B$5:B60)+1</f>
        <v>57</v>
      </c>
      <c r="C61" s="10"/>
      <c r="D61" s="49"/>
      <c r="E61" s="21"/>
      <c r="F61" s="22"/>
      <c r="G61" s="9"/>
      <c r="H61" s="9"/>
      <c r="I61" s="10"/>
      <c r="J61" s="11"/>
      <c r="K61" s="11"/>
    </row>
    <row r="62" spans="2:11" x14ac:dyDescent="0.3">
      <c r="B62" s="9">
        <f>MAX(B$5:B61)+1</f>
        <v>58</v>
      </c>
      <c r="C62" s="10"/>
      <c r="D62" s="49"/>
      <c r="E62" s="21"/>
      <c r="F62" s="22"/>
      <c r="G62" s="9"/>
      <c r="H62" s="9"/>
      <c r="I62" s="10"/>
      <c r="J62" s="11"/>
      <c r="K62" s="11"/>
    </row>
    <row r="63" spans="2:11" x14ac:dyDescent="0.3">
      <c r="B63" s="9">
        <f>MAX(B$5:B62)+1</f>
        <v>59</v>
      </c>
      <c r="C63" s="10"/>
      <c r="D63" s="49"/>
      <c r="E63" s="21"/>
      <c r="F63" s="22"/>
      <c r="G63" s="9"/>
      <c r="H63" s="9"/>
      <c r="I63" s="10"/>
      <c r="J63" s="11"/>
      <c r="K63" s="11"/>
    </row>
    <row r="64" spans="2:11" x14ac:dyDescent="0.3">
      <c r="B64" s="9">
        <f>MAX(B$5:B63)+1</f>
        <v>60</v>
      </c>
      <c r="C64" s="10"/>
      <c r="D64" s="49"/>
      <c r="E64" s="21"/>
      <c r="F64" s="22"/>
      <c r="G64" s="9"/>
      <c r="H64" s="9"/>
      <c r="I64" s="10"/>
      <c r="J64" s="11"/>
      <c r="K64" s="11"/>
    </row>
    <row r="65" spans="2:11" x14ac:dyDescent="0.3">
      <c r="B65" s="9">
        <f>MAX(B$5:B64)+1</f>
        <v>61</v>
      </c>
      <c r="C65" s="10"/>
      <c r="D65" s="49"/>
      <c r="E65" s="21"/>
      <c r="F65" s="22"/>
      <c r="G65" s="9"/>
      <c r="H65" s="9"/>
      <c r="I65" s="10"/>
      <c r="J65" s="11"/>
      <c r="K65" s="11"/>
    </row>
    <row r="66" spans="2:11" x14ac:dyDescent="0.3">
      <c r="B66" s="9">
        <f>MAX(B$5:B65)+1</f>
        <v>62</v>
      </c>
      <c r="C66" s="10"/>
      <c r="D66" s="49"/>
      <c r="E66" s="21"/>
      <c r="F66" s="22"/>
      <c r="G66" s="9"/>
      <c r="H66" s="9"/>
      <c r="I66" s="10"/>
      <c r="J66" s="11"/>
      <c r="K66" s="11"/>
    </row>
    <row r="67" spans="2:11" x14ac:dyDescent="0.3">
      <c r="B67" s="9">
        <f>MAX(B$5:B66)+1</f>
        <v>63</v>
      </c>
      <c r="C67" s="10"/>
      <c r="D67" s="49"/>
      <c r="E67" s="21"/>
      <c r="F67" s="22"/>
      <c r="G67" s="9"/>
      <c r="H67" s="9"/>
      <c r="I67" s="10"/>
      <c r="J67" s="11"/>
      <c r="K67" s="11"/>
    </row>
    <row r="68" spans="2:11" x14ac:dyDescent="0.3">
      <c r="B68" s="9">
        <f>MAX(B$5:B67)+1</f>
        <v>64</v>
      </c>
      <c r="C68" s="10"/>
      <c r="D68" s="49"/>
      <c r="E68" s="21"/>
      <c r="F68" s="22"/>
      <c r="G68" s="9"/>
      <c r="H68" s="9"/>
      <c r="I68" s="10"/>
      <c r="J68" s="11"/>
      <c r="K68" s="11"/>
    </row>
    <row r="69" spans="2:11" x14ac:dyDescent="0.3">
      <c r="B69" s="9">
        <f>MAX(B$5:B68)+1</f>
        <v>65</v>
      </c>
      <c r="C69" s="10"/>
      <c r="D69" s="49"/>
      <c r="E69" s="21"/>
      <c r="F69" s="22"/>
      <c r="G69" s="9"/>
      <c r="H69" s="9"/>
      <c r="I69" s="10"/>
      <c r="J69" s="11"/>
      <c r="K69" s="11"/>
    </row>
    <row r="70" spans="2:11" x14ac:dyDescent="0.3">
      <c r="B70" s="9">
        <f>MAX(B$5:B69)+1</f>
        <v>66</v>
      </c>
      <c r="C70" s="10"/>
      <c r="D70" s="49"/>
      <c r="E70" s="21"/>
      <c r="F70" s="22"/>
      <c r="G70" s="9"/>
      <c r="H70" s="9"/>
      <c r="I70" s="10"/>
      <c r="J70" s="11"/>
      <c r="K70" s="11"/>
    </row>
    <row r="71" spans="2:11" x14ac:dyDescent="0.3">
      <c r="B71" s="9">
        <f>MAX(B$5:B70)+1</f>
        <v>67</v>
      </c>
      <c r="C71" s="10"/>
      <c r="D71" s="49"/>
      <c r="E71" s="21"/>
      <c r="F71" s="22"/>
      <c r="G71" s="9"/>
      <c r="H71" s="9"/>
      <c r="I71" s="10"/>
      <c r="J71" s="11"/>
      <c r="K71" s="11"/>
    </row>
    <row r="72" spans="2:11" x14ac:dyDescent="0.3">
      <c r="B72" s="9">
        <f>MAX(B$5:B71)+1</f>
        <v>68</v>
      </c>
      <c r="C72" s="10"/>
      <c r="D72" s="49"/>
      <c r="E72" s="21"/>
      <c r="F72" s="22"/>
      <c r="G72" s="9"/>
      <c r="H72" s="9"/>
      <c r="I72" s="10"/>
      <c r="J72" s="11"/>
      <c r="K72" s="11"/>
    </row>
    <row r="73" spans="2:11" x14ac:dyDescent="0.3">
      <c r="B73" s="9">
        <f>MAX(B$5:B72)+1</f>
        <v>69</v>
      </c>
      <c r="C73" s="10"/>
      <c r="D73" s="49"/>
      <c r="E73" s="21"/>
      <c r="F73" s="22"/>
      <c r="G73" s="9"/>
      <c r="H73" s="9"/>
      <c r="I73" s="10"/>
      <c r="J73" s="11"/>
      <c r="K73" s="11"/>
    </row>
    <row r="74" spans="2:11" x14ac:dyDescent="0.3">
      <c r="B74" s="9">
        <f>MAX(B$5:B73)+1</f>
        <v>70</v>
      </c>
      <c r="C74" s="10"/>
      <c r="D74" s="49"/>
      <c r="E74" s="21"/>
      <c r="F74" s="22"/>
      <c r="G74" s="9"/>
      <c r="H74" s="9"/>
      <c r="I74" s="10"/>
      <c r="J74" s="11"/>
      <c r="K74" s="11"/>
    </row>
    <row r="75" spans="2:11" x14ac:dyDescent="0.3">
      <c r="B75" s="9">
        <f>MAX(B$5:B74)+1</f>
        <v>71</v>
      </c>
      <c r="C75" s="10"/>
      <c r="D75" s="49"/>
      <c r="E75" s="21"/>
      <c r="F75" s="22"/>
      <c r="G75" s="9"/>
      <c r="H75" s="9"/>
      <c r="I75" s="10"/>
      <c r="J75" s="11"/>
      <c r="K75" s="11"/>
    </row>
    <row r="76" spans="2:11" x14ac:dyDescent="0.3">
      <c r="B76" s="9">
        <f>MAX(B$5:B75)+1</f>
        <v>72</v>
      </c>
      <c r="C76" s="10"/>
      <c r="D76" s="49"/>
      <c r="E76" s="21"/>
      <c r="F76" s="22"/>
      <c r="G76" s="9"/>
      <c r="H76" s="9"/>
      <c r="I76" s="10"/>
      <c r="J76" s="11"/>
      <c r="K76" s="11"/>
    </row>
    <row r="77" spans="2:11" x14ac:dyDescent="0.3">
      <c r="B77" s="9">
        <f>MAX(B$5:B76)+1</f>
        <v>73</v>
      </c>
      <c r="C77" s="10"/>
      <c r="D77" s="49"/>
      <c r="E77" s="21"/>
      <c r="F77" s="22"/>
      <c r="G77" s="9"/>
      <c r="H77" s="9"/>
      <c r="I77" s="10"/>
      <c r="J77" s="11"/>
      <c r="K77" s="11"/>
    </row>
    <row r="78" spans="2:11" x14ac:dyDescent="0.3">
      <c r="B78" s="9">
        <f>MAX(B$5:B77)+1</f>
        <v>74</v>
      </c>
      <c r="C78" s="10"/>
      <c r="D78" s="49"/>
      <c r="E78" s="21"/>
      <c r="F78" s="22"/>
      <c r="G78" s="9"/>
      <c r="H78" s="9"/>
      <c r="I78" s="10"/>
      <c r="J78" s="11"/>
      <c r="K78" s="11"/>
    </row>
    <row r="79" spans="2:11" x14ac:dyDescent="0.3">
      <c r="B79" s="9">
        <f>MAX(B$5:B78)+1</f>
        <v>75</v>
      </c>
      <c r="C79" s="10"/>
      <c r="D79" s="49"/>
      <c r="E79" s="21"/>
      <c r="F79" s="22"/>
      <c r="G79" s="9"/>
      <c r="H79" s="9"/>
      <c r="I79" s="10"/>
      <c r="J79" s="11"/>
      <c r="K79" s="11"/>
    </row>
    <row r="80" spans="2:11" x14ac:dyDescent="0.3">
      <c r="B80" s="9">
        <f>MAX(B$5:B79)+1</f>
        <v>76</v>
      </c>
      <c r="C80" s="10"/>
      <c r="D80" s="49"/>
      <c r="E80" s="21"/>
      <c r="F80" s="22"/>
      <c r="G80" s="9"/>
      <c r="H80" s="9"/>
      <c r="I80" s="10"/>
      <c r="J80" s="11"/>
      <c r="K80" s="11"/>
    </row>
    <row r="81" spans="2:11" x14ac:dyDescent="0.3">
      <c r="B81" s="9">
        <f>MAX(B$5:B80)+1</f>
        <v>77</v>
      </c>
      <c r="C81" s="10"/>
      <c r="D81" s="49"/>
      <c r="E81" s="21"/>
      <c r="F81" s="22"/>
      <c r="G81" s="9"/>
      <c r="H81" s="9"/>
      <c r="I81" s="10"/>
      <c r="J81" s="11"/>
      <c r="K81" s="11"/>
    </row>
    <row r="82" spans="2:11" x14ac:dyDescent="0.3">
      <c r="B82" s="9">
        <f>MAX(B$5:B81)+1</f>
        <v>78</v>
      </c>
      <c r="C82" s="10"/>
      <c r="D82" s="49"/>
      <c r="E82" s="21"/>
      <c r="F82" s="22"/>
      <c r="G82" s="9"/>
      <c r="H82" s="9"/>
      <c r="I82" s="10"/>
      <c r="J82" s="11"/>
      <c r="K82" s="11"/>
    </row>
    <row r="83" spans="2:11" x14ac:dyDescent="0.3">
      <c r="B83" s="9">
        <f>MAX(B$5:B82)+1</f>
        <v>79</v>
      </c>
      <c r="C83" s="10"/>
      <c r="D83" s="49"/>
      <c r="E83" s="21"/>
      <c r="F83" s="22"/>
      <c r="G83" s="9"/>
      <c r="H83" s="9"/>
      <c r="I83" s="10"/>
      <c r="J83" s="11"/>
      <c r="K83" s="11"/>
    </row>
    <row r="84" spans="2:11" x14ac:dyDescent="0.3">
      <c r="B84" s="9">
        <f>MAX(B$5:B83)+1</f>
        <v>80</v>
      </c>
      <c r="C84" s="10"/>
      <c r="D84" s="49"/>
      <c r="E84" s="21"/>
      <c r="F84" s="22"/>
      <c r="G84" s="9"/>
      <c r="H84" s="9"/>
      <c r="I84" s="10"/>
      <c r="J84" s="11"/>
      <c r="K84" s="11"/>
    </row>
    <row r="85" spans="2:11" x14ac:dyDescent="0.3">
      <c r="B85" s="9">
        <f>MAX(B$5:B84)+1</f>
        <v>81</v>
      </c>
      <c r="C85" s="10"/>
      <c r="D85" s="49"/>
      <c r="E85" s="21"/>
      <c r="F85" s="22"/>
      <c r="G85" s="9"/>
      <c r="H85" s="9"/>
      <c r="I85" s="10"/>
      <c r="J85" s="11"/>
      <c r="K85" s="11"/>
    </row>
    <row r="86" spans="2:11" x14ac:dyDescent="0.3">
      <c r="B86" s="9">
        <f>MAX(B$5:B85)+1</f>
        <v>82</v>
      </c>
      <c r="C86" s="10"/>
      <c r="D86" s="49"/>
      <c r="E86" s="21"/>
      <c r="F86" s="22"/>
      <c r="G86" s="9"/>
      <c r="H86" s="9"/>
      <c r="I86" s="10"/>
      <c r="J86" s="11"/>
      <c r="K86" s="11"/>
    </row>
    <row r="87" spans="2:11" x14ac:dyDescent="0.3">
      <c r="B87" s="9">
        <f>MAX(B$5:B86)+1</f>
        <v>83</v>
      </c>
      <c r="C87" s="10"/>
      <c r="D87" s="49"/>
      <c r="E87" s="21"/>
      <c r="F87" s="22"/>
      <c r="G87" s="9"/>
      <c r="H87" s="9"/>
      <c r="I87" s="10"/>
      <c r="J87" s="11"/>
      <c r="K87" s="11"/>
    </row>
    <row r="88" spans="2:11" x14ac:dyDescent="0.3">
      <c r="B88" s="9">
        <f>MAX(B$5:B87)+1</f>
        <v>84</v>
      </c>
      <c r="C88" s="10"/>
      <c r="D88" s="49"/>
      <c r="E88" s="21"/>
      <c r="F88" s="22"/>
      <c r="G88" s="9"/>
      <c r="H88" s="9"/>
      <c r="I88" s="10"/>
      <c r="J88" s="11"/>
      <c r="K88" s="11"/>
    </row>
    <row r="89" spans="2:11" x14ac:dyDescent="0.3">
      <c r="B89" s="9">
        <f>MAX(B$5:B88)+1</f>
        <v>85</v>
      </c>
      <c r="C89" s="10"/>
      <c r="D89" s="49"/>
      <c r="E89" s="21"/>
      <c r="F89" s="22"/>
      <c r="G89" s="9"/>
      <c r="H89" s="9"/>
      <c r="I89" s="10"/>
      <c r="J89" s="11"/>
      <c r="K89" s="11"/>
    </row>
    <row r="90" spans="2:11" x14ac:dyDescent="0.3">
      <c r="B90" s="9">
        <f>MAX(B$5:B89)+1</f>
        <v>86</v>
      </c>
      <c r="C90" s="10"/>
      <c r="D90" s="49"/>
      <c r="E90" s="21"/>
      <c r="F90" s="22"/>
      <c r="G90" s="9"/>
      <c r="H90" s="9"/>
      <c r="I90" s="10"/>
      <c r="J90" s="11"/>
      <c r="K90" s="11"/>
    </row>
    <row r="91" spans="2:11" x14ac:dyDescent="0.3">
      <c r="B91" s="9">
        <f>MAX(B$5:B90)+1</f>
        <v>87</v>
      </c>
      <c r="C91" s="10"/>
      <c r="D91" s="49"/>
      <c r="E91" s="21"/>
      <c r="F91" s="22"/>
      <c r="G91" s="9"/>
      <c r="H91" s="9"/>
      <c r="I91" s="10"/>
      <c r="J91" s="11"/>
      <c r="K91" s="11"/>
    </row>
    <row r="92" spans="2:11" x14ac:dyDescent="0.3">
      <c r="B92" s="9">
        <f>MAX(B$5:B91)+1</f>
        <v>88</v>
      </c>
      <c r="C92" s="10"/>
      <c r="D92" s="49"/>
      <c r="E92" s="21"/>
      <c r="F92" s="22"/>
      <c r="G92" s="9"/>
      <c r="H92" s="9"/>
      <c r="I92" s="10"/>
      <c r="J92" s="11"/>
      <c r="K92" s="11"/>
    </row>
    <row r="93" spans="2:11" x14ac:dyDescent="0.3">
      <c r="B93" s="9">
        <f>MAX(B$5:B92)+1</f>
        <v>89</v>
      </c>
      <c r="C93" s="10"/>
      <c r="D93" s="49"/>
      <c r="E93" s="21"/>
      <c r="F93" s="22"/>
      <c r="G93" s="9"/>
      <c r="H93" s="9"/>
      <c r="I93" s="10"/>
      <c r="J93" s="11"/>
      <c r="K93" s="11"/>
    </row>
    <row r="94" spans="2:11" x14ac:dyDescent="0.3">
      <c r="B94" s="9">
        <f>MAX(B$5:B93)+1</f>
        <v>90</v>
      </c>
      <c r="C94" s="10"/>
      <c r="D94" s="49"/>
      <c r="E94" s="21"/>
      <c r="F94" s="22"/>
      <c r="G94" s="9"/>
      <c r="H94" s="9"/>
      <c r="I94" s="10"/>
      <c r="J94" s="11"/>
      <c r="K94" s="11"/>
    </row>
    <row r="95" spans="2:11" x14ac:dyDescent="0.3">
      <c r="B95" s="9">
        <f>MAX(B$5:B94)+1</f>
        <v>91</v>
      </c>
      <c r="C95" s="10"/>
      <c r="D95" s="49"/>
      <c r="E95" s="21"/>
      <c r="F95" s="22"/>
      <c r="G95" s="9"/>
      <c r="H95" s="9"/>
      <c r="I95" s="10"/>
      <c r="J95" s="11"/>
      <c r="K95" s="11"/>
    </row>
    <row r="96" spans="2:11" x14ac:dyDescent="0.3">
      <c r="B96" s="9">
        <f>MAX(B$5:B95)+1</f>
        <v>92</v>
      </c>
      <c r="C96" s="10"/>
      <c r="D96" s="49"/>
      <c r="E96" s="21"/>
      <c r="F96" s="22"/>
      <c r="G96" s="9"/>
      <c r="H96" s="9"/>
      <c r="I96" s="10"/>
      <c r="J96" s="11"/>
      <c r="K96" s="11"/>
    </row>
    <row r="97" spans="2:11" x14ac:dyDescent="0.3">
      <c r="B97" s="9">
        <f>MAX(B$5:B96)+1</f>
        <v>93</v>
      </c>
      <c r="C97" s="10"/>
      <c r="D97" s="49"/>
      <c r="E97" s="21"/>
      <c r="F97" s="22"/>
      <c r="G97" s="9"/>
      <c r="H97" s="9"/>
      <c r="I97" s="10"/>
      <c r="J97" s="11"/>
      <c r="K97" s="11"/>
    </row>
    <row r="98" spans="2:11" x14ac:dyDescent="0.3">
      <c r="B98" s="9">
        <f>MAX(B$5:B97)+1</f>
        <v>94</v>
      </c>
      <c r="C98" s="10"/>
      <c r="D98" s="49"/>
      <c r="E98" s="21"/>
      <c r="F98" s="22"/>
      <c r="G98" s="9"/>
      <c r="H98" s="9"/>
      <c r="I98" s="10"/>
      <c r="J98" s="11"/>
      <c r="K98" s="11"/>
    </row>
    <row r="99" spans="2:11" x14ac:dyDescent="0.3">
      <c r="B99" s="9">
        <f>MAX(B$5:B98)+1</f>
        <v>95</v>
      </c>
      <c r="C99" s="10"/>
      <c r="D99" s="49"/>
      <c r="E99" s="21"/>
      <c r="F99" s="22"/>
      <c r="G99" s="9"/>
      <c r="H99" s="9"/>
      <c r="I99" s="10"/>
      <c r="J99" s="11"/>
      <c r="K99" s="11"/>
    </row>
    <row r="100" spans="2:11" x14ac:dyDescent="0.3">
      <c r="B100" s="9">
        <f>MAX(B$5:B99)+1</f>
        <v>96</v>
      </c>
      <c r="C100" s="10"/>
      <c r="D100" s="49"/>
      <c r="E100" s="21"/>
      <c r="F100" s="22"/>
      <c r="G100" s="9"/>
      <c r="H100" s="9"/>
      <c r="I100" s="10"/>
      <c r="J100" s="11"/>
      <c r="K100" s="11"/>
    </row>
    <row r="101" spans="2:11" x14ac:dyDescent="0.3">
      <c r="B101" s="9">
        <f>MAX(B$5:B100)+1</f>
        <v>97</v>
      </c>
      <c r="C101" s="10"/>
      <c r="D101" s="49"/>
      <c r="E101" s="21"/>
      <c r="F101" s="22"/>
      <c r="G101" s="9"/>
      <c r="H101" s="9"/>
      <c r="I101" s="10"/>
      <c r="J101" s="11"/>
      <c r="K101" s="11"/>
    </row>
    <row r="102" spans="2:11" x14ac:dyDescent="0.3">
      <c r="B102" s="9">
        <f>MAX(B$5:B101)+1</f>
        <v>98</v>
      </c>
      <c r="C102" s="10"/>
      <c r="D102" s="49"/>
      <c r="E102" s="21"/>
      <c r="F102" s="22"/>
      <c r="G102" s="9"/>
      <c r="H102" s="9"/>
      <c r="I102" s="10"/>
      <c r="J102" s="11"/>
      <c r="K102" s="11"/>
    </row>
    <row r="103" spans="2:11" x14ac:dyDescent="0.3">
      <c r="B103" s="9">
        <f>MAX(B$5:B102)+1</f>
        <v>99</v>
      </c>
      <c r="C103" s="10"/>
      <c r="D103" s="49"/>
      <c r="E103" s="21"/>
      <c r="F103" s="22"/>
      <c r="G103" s="9"/>
      <c r="H103" s="9"/>
      <c r="I103" s="10"/>
      <c r="J103" s="11"/>
      <c r="K103" s="11"/>
    </row>
    <row r="104" spans="2:11" x14ac:dyDescent="0.3">
      <c r="B104" s="9">
        <f>MAX(B$5:B103)+1</f>
        <v>100</v>
      </c>
      <c r="C104" s="10"/>
      <c r="D104" s="49"/>
      <c r="E104" s="21"/>
      <c r="F104" s="22"/>
      <c r="G104" s="9"/>
      <c r="H104" s="9"/>
      <c r="I104" s="10"/>
      <c r="J104" s="11"/>
      <c r="K104" s="11"/>
    </row>
  </sheetData>
  <autoFilter ref="B4:K104" xr:uid="{B358818E-6145-43CA-82DB-46FE707EBA5B}"/>
  <conditionalFormatting sqref="G5:G488">
    <cfRule type="expression" dxfId="23" priority="130">
      <formula>SEARCH("Medium",$G5)&gt;0</formula>
    </cfRule>
    <cfRule type="expression" dxfId="22" priority="131">
      <formula>SEARCH("High",$G5)&gt;0</formula>
    </cfRule>
    <cfRule type="expression" dxfId="21" priority="132">
      <formula>SEARCH("Highest",$G5)&gt;0</formula>
    </cfRule>
  </conditionalFormatting>
  <conditionalFormatting sqref="H5:H488">
    <cfRule type="expression" dxfId="20" priority="135">
      <formula>SEARCH("Partial",$H5)&gt;0</formula>
    </cfRule>
    <cfRule type="expression" dxfId="19" priority="136">
      <formula>SEARCH("Open",$H5)&gt;0</formula>
    </cfRule>
    <cfRule type="expression" dxfId="18" priority="137">
      <formula>SEARCH("Closed",$H5)&gt;0</formula>
    </cfRule>
  </conditionalFormatting>
  <dataValidations count="2">
    <dataValidation type="list" allowBlank="1" showInputMessage="1" showErrorMessage="1" sqref="H5:H104" xr:uid="{B459E39D-4EC5-4222-AB51-6DD3D47EC148}">
      <formula1>"Open, Partial, Closed, N/A"</formula1>
    </dataValidation>
    <dataValidation type="list" allowBlank="1" showInputMessage="1" showErrorMessage="1" sqref="G5:G120" xr:uid="{E42BEB9D-39D7-42A4-8CE6-E0F49385E227}">
      <formula1>"Highest, High, Medium, Low"</formula1>
    </dataValidation>
  </dataValidations>
  <printOptions horizontalCentered="1"/>
  <pageMargins left="0.25" right="0.25" top="0.25" bottom="0.5" header="0" footer="0.25"/>
  <pageSetup scale="47" fitToHeight="0" orientation="landscape" r:id="rId1"/>
  <headerFooter alignWithMargins="0">
    <oddFooter>&amp;L&amp;1#&amp;"Calibri,Regular"&amp;10&amp;K000000Confidential&amp;C&amp;G&amp;R&amp;8&amp;P of &amp;N</oddFoot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BB232-7604-4760-8367-C8E07FEFB16B}">
          <x14:formula1>
            <xm:f>Overview!$B$37:$B$46</xm:f>
          </x14:formula1>
          <xm:sqref>D5:D104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AA104"/>
  <sheetViews>
    <sheetView showGridLines="0" zoomScale="85" zoomScaleNormal="85" zoomScaleSheetLayoutView="85" zoomScalePageLayoutView="150" workbookViewId="0">
      <pane xSplit="8" ySplit="4" topLeftCell="I5" activePane="bottomRight" state="frozen"/>
      <selection pane="topRight" activeCell="E114" sqref="E114"/>
      <selection pane="bottomLeft" activeCell="E114" sqref="E114"/>
      <selection pane="bottomRight" activeCell="C5" sqref="C5"/>
    </sheetView>
  </sheetViews>
  <sheetFormatPr defaultColWidth="8.53515625" defaultRowHeight="12.45" x14ac:dyDescent="0.3"/>
  <cols>
    <col min="1" max="1" width="1.53515625" style="1" customWidth="1"/>
    <col min="2" max="2" width="5.53515625" style="1" customWidth="1"/>
    <col min="3" max="3" width="13.4609375" style="1" bestFit="1" customWidth="1"/>
    <col min="4" max="4" width="15.53515625" style="50" customWidth="1"/>
    <col min="5" max="5" width="65.69140625" style="2" customWidth="1"/>
    <col min="6" max="6" width="13.4609375" style="3" customWidth="1"/>
    <col min="7" max="9" width="10.53515625" style="1" customWidth="1"/>
    <col min="10" max="11" width="65.69140625" style="3" customWidth="1"/>
    <col min="12" max="12" width="8.53515625" style="1"/>
    <col min="13" max="13" width="23.4609375" style="1" customWidth="1"/>
    <col min="14" max="16384" width="8.53515625" style="1"/>
  </cols>
  <sheetData>
    <row r="1" spans="2:27" s="6" customFormat="1" ht="10.4" customHeight="1" x14ac:dyDescent="0.3">
      <c r="B1" s="8"/>
      <c r="C1" s="8"/>
      <c r="D1" s="4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2:27" s="6" customFormat="1" ht="20.149999999999999" customHeight="1" x14ac:dyDescent="0.3">
      <c r="B2" s="32" t="str">
        <f ca="1">Project&amp;"  |  "&amp;REPLACE(CELL("filename",D1),1,FIND("]",CELL("filename",D1)),"")&amp;" Diligence Tracker"</f>
        <v xml:space="preserve"> Project Beacon  |  Advisor A Diligence Tracker</v>
      </c>
      <c r="C2" s="33"/>
      <c r="D2" s="48"/>
      <c r="E2" s="31"/>
      <c r="F2" s="34"/>
      <c r="G2" s="31"/>
      <c r="H2" s="31"/>
      <c r="I2" s="31"/>
      <c r="J2" s="31"/>
      <c r="K2" s="3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4" spans="2:27" s="23" customFormat="1" ht="24.9" x14ac:dyDescent="0.3">
      <c r="B4" s="25" t="s">
        <v>18</v>
      </c>
      <c r="C4" s="24" t="s">
        <v>19</v>
      </c>
      <c r="D4" s="24" t="s">
        <v>20</v>
      </c>
      <c r="E4" s="25" t="s">
        <v>21</v>
      </c>
      <c r="F4" s="24" t="s">
        <v>22</v>
      </c>
      <c r="G4" s="25" t="s">
        <v>23</v>
      </c>
      <c r="H4" s="25" t="s">
        <v>24</v>
      </c>
      <c r="I4" s="24" t="s">
        <v>25</v>
      </c>
      <c r="J4" s="24" t="s">
        <v>26</v>
      </c>
      <c r="K4" s="24" t="s">
        <v>27</v>
      </c>
    </row>
    <row r="5" spans="2:27" x14ac:dyDescent="0.3">
      <c r="B5" s="9">
        <v>1</v>
      </c>
      <c r="C5" s="10"/>
      <c r="D5" s="49"/>
      <c r="E5" s="21"/>
      <c r="F5" s="22"/>
      <c r="G5" s="9"/>
      <c r="H5" s="9"/>
      <c r="I5" s="10"/>
      <c r="J5" s="11"/>
      <c r="K5" s="11"/>
    </row>
    <row r="6" spans="2:27" x14ac:dyDescent="0.3">
      <c r="B6" s="9">
        <f>MAX(B$5:B5)+1</f>
        <v>2</v>
      </c>
      <c r="C6" s="10"/>
      <c r="D6" s="49"/>
      <c r="E6" s="21"/>
      <c r="F6" s="22"/>
      <c r="G6" s="9"/>
      <c r="H6" s="9"/>
      <c r="I6" s="10"/>
      <c r="J6" s="11"/>
      <c r="K6" s="11"/>
    </row>
    <row r="7" spans="2:27" x14ac:dyDescent="0.3">
      <c r="B7" s="9">
        <f>MAX(B$5:B6)+1</f>
        <v>3</v>
      </c>
      <c r="C7" s="10"/>
      <c r="D7" s="49"/>
      <c r="E7" s="21"/>
      <c r="F7" s="22"/>
      <c r="G7" s="9"/>
      <c r="H7" s="9"/>
      <c r="I7" s="10"/>
      <c r="J7" s="11"/>
      <c r="K7" s="11"/>
    </row>
    <row r="8" spans="2:27" x14ac:dyDescent="0.3">
      <c r="B8" s="9">
        <f>MAX(B$5:B7)+1</f>
        <v>4</v>
      </c>
      <c r="C8" s="10"/>
      <c r="D8" s="49"/>
      <c r="E8" s="21"/>
      <c r="F8" s="22"/>
      <c r="G8" s="9"/>
      <c r="H8" s="9"/>
      <c r="I8" s="10"/>
      <c r="J8" s="11"/>
      <c r="K8" s="11"/>
    </row>
    <row r="9" spans="2:27" x14ac:dyDescent="0.3">
      <c r="B9" s="9">
        <f>MAX(B$5:B8)+1</f>
        <v>5</v>
      </c>
      <c r="C9" s="10"/>
      <c r="D9" s="49"/>
      <c r="E9" s="21"/>
      <c r="F9" s="22"/>
      <c r="G9" s="9"/>
      <c r="H9" s="9"/>
      <c r="I9" s="10"/>
      <c r="J9" s="11"/>
      <c r="K9" s="11"/>
    </row>
    <row r="10" spans="2:27" x14ac:dyDescent="0.3">
      <c r="B10" s="9">
        <f>MAX(B$5:B9)+1</f>
        <v>6</v>
      </c>
      <c r="C10" s="10"/>
      <c r="D10" s="49"/>
      <c r="E10" s="21"/>
      <c r="F10" s="22"/>
      <c r="G10" s="9"/>
      <c r="H10" s="9"/>
      <c r="I10" s="10"/>
      <c r="J10" s="11"/>
      <c r="K10" s="11"/>
    </row>
    <row r="11" spans="2:27" x14ac:dyDescent="0.3">
      <c r="B11" s="9">
        <f>MAX(B$5:B10)+1</f>
        <v>7</v>
      </c>
      <c r="C11" s="10"/>
      <c r="D11" s="49"/>
      <c r="E11" s="21"/>
      <c r="F11" s="22"/>
      <c r="G11" s="9"/>
      <c r="H11" s="9"/>
      <c r="I11" s="10"/>
      <c r="J11" s="11"/>
      <c r="K11" s="11"/>
    </row>
    <row r="12" spans="2:27" x14ac:dyDescent="0.3">
      <c r="B12" s="9">
        <f>MAX(B$5:B11)+1</f>
        <v>8</v>
      </c>
      <c r="C12" s="10"/>
      <c r="D12" s="49"/>
      <c r="E12" s="21"/>
      <c r="F12" s="22"/>
      <c r="G12" s="9"/>
      <c r="H12" s="9"/>
      <c r="I12" s="10"/>
      <c r="J12" s="11"/>
      <c r="K12" s="11"/>
    </row>
    <row r="13" spans="2:27" x14ac:dyDescent="0.3">
      <c r="B13" s="9">
        <f>MAX(B$5:B12)+1</f>
        <v>9</v>
      </c>
      <c r="C13" s="10"/>
      <c r="D13" s="49"/>
      <c r="E13" s="21"/>
      <c r="F13" s="22"/>
      <c r="G13" s="9"/>
      <c r="H13" s="9"/>
      <c r="I13" s="10"/>
      <c r="J13" s="11"/>
      <c r="K13" s="11"/>
    </row>
    <row r="14" spans="2:27" x14ac:dyDescent="0.3">
      <c r="B14" s="9">
        <f>MAX(B$5:B13)+1</f>
        <v>10</v>
      </c>
      <c r="C14" s="10"/>
      <c r="D14" s="49"/>
      <c r="E14" s="21"/>
      <c r="F14" s="22"/>
      <c r="G14" s="9"/>
      <c r="H14" s="9"/>
      <c r="I14" s="10"/>
      <c r="J14" s="11"/>
      <c r="K14" s="11"/>
    </row>
    <row r="15" spans="2:27" x14ac:dyDescent="0.3">
      <c r="B15" s="9">
        <f>MAX(B$5:B14)+1</f>
        <v>11</v>
      </c>
      <c r="C15" s="10"/>
      <c r="D15" s="49"/>
      <c r="E15" s="21"/>
      <c r="F15" s="22"/>
      <c r="G15" s="9"/>
      <c r="H15" s="9"/>
      <c r="I15" s="10"/>
      <c r="J15" s="11"/>
      <c r="K15" s="11"/>
    </row>
    <row r="16" spans="2:27" x14ac:dyDescent="0.3">
      <c r="B16" s="9">
        <f>MAX(B$5:B15)+1</f>
        <v>12</v>
      </c>
      <c r="C16" s="10"/>
      <c r="D16" s="49"/>
      <c r="E16" s="21"/>
      <c r="F16" s="22"/>
      <c r="G16" s="9"/>
      <c r="H16" s="9"/>
      <c r="I16" s="10"/>
      <c r="J16" s="11"/>
      <c r="K16" s="11"/>
    </row>
    <row r="17" spans="2:11" x14ac:dyDescent="0.3">
      <c r="B17" s="9">
        <f>MAX(B$5:B16)+1</f>
        <v>13</v>
      </c>
      <c r="C17" s="10"/>
      <c r="D17" s="49"/>
      <c r="E17" s="21"/>
      <c r="F17" s="22"/>
      <c r="G17" s="9"/>
      <c r="H17" s="9"/>
      <c r="I17" s="10"/>
      <c r="J17" s="11"/>
      <c r="K17" s="11"/>
    </row>
    <row r="18" spans="2:11" x14ac:dyDescent="0.3">
      <c r="B18" s="9">
        <f>MAX(B$5:B17)+1</f>
        <v>14</v>
      </c>
      <c r="C18" s="10"/>
      <c r="D18" s="49"/>
      <c r="E18" s="21"/>
      <c r="F18" s="22"/>
      <c r="G18" s="9"/>
      <c r="H18" s="9"/>
      <c r="I18" s="10"/>
      <c r="J18" s="11"/>
      <c r="K18" s="11"/>
    </row>
    <row r="19" spans="2:11" x14ac:dyDescent="0.3">
      <c r="B19" s="9">
        <f>MAX(B$5:B18)+1</f>
        <v>15</v>
      </c>
      <c r="C19" s="10"/>
      <c r="D19" s="49"/>
      <c r="E19" s="21"/>
      <c r="F19" s="22"/>
      <c r="G19" s="9"/>
      <c r="H19" s="9"/>
      <c r="I19" s="10"/>
      <c r="J19" s="11"/>
      <c r="K19" s="11"/>
    </row>
    <row r="20" spans="2:11" x14ac:dyDescent="0.3">
      <c r="B20" s="9">
        <f>MAX(B$5:B19)+1</f>
        <v>16</v>
      </c>
      <c r="C20" s="10"/>
      <c r="D20" s="49"/>
      <c r="E20" s="21"/>
      <c r="F20" s="22"/>
      <c r="G20" s="9"/>
      <c r="H20" s="9"/>
      <c r="I20" s="10"/>
      <c r="J20" s="11"/>
      <c r="K20" s="11"/>
    </row>
    <row r="21" spans="2:11" x14ac:dyDescent="0.3">
      <c r="B21" s="9">
        <f>MAX(B$5:B20)+1</f>
        <v>17</v>
      </c>
      <c r="C21" s="10"/>
      <c r="D21" s="49"/>
      <c r="E21" s="21"/>
      <c r="F21" s="22"/>
      <c r="G21" s="9"/>
      <c r="H21" s="9"/>
      <c r="I21" s="10"/>
      <c r="J21" s="11"/>
      <c r="K21" s="11"/>
    </row>
    <row r="22" spans="2:11" x14ac:dyDescent="0.3">
      <c r="B22" s="9">
        <f>MAX(B$5:B21)+1</f>
        <v>18</v>
      </c>
      <c r="C22" s="10"/>
      <c r="D22" s="49"/>
      <c r="E22" s="21"/>
      <c r="F22" s="22"/>
      <c r="G22" s="9"/>
      <c r="H22" s="9"/>
      <c r="I22" s="10"/>
      <c r="J22" s="11"/>
      <c r="K22" s="11"/>
    </row>
    <row r="23" spans="2:11" x14ac:dyDescent="0.3">
      <c r="B23" s="9">
        <f>MAX(B$5:B22)+1</f>
        <v>19</v>
      </c>
      <c r="C23" s="10"/>
      <c r="D23" s="49"/>
      <c r="E23" s="21"/>
      <c r="F23" s="22"/>
      <c r="G23" s="9"/>
      <c r="H23" s="9"/>
      <c r="I23" s="10"/>
      <c r="J23" s="11"/>
      <c r="K23" s="11"/>
    </row>
    <row r="24" spans="2:11" s="4" customFormat="1" x14ac:dyDescent="0.3">
      <c r="B24" s="9">
        <f>MAX(B$5:B23)+1</f>
        <v>20</v>
      </c>
      <c r="C24" s="10"/>
      <c r="D24" s="49"/>
      <c r="E24" s="21"/>
      <c r="F24" s="22"/>
      <c r="G24" s="9"/>
      <c r="H24" s="9"/>
      <c r="I24" s="10"/>
      <c r="J24" s="1"/>
      <c r="K24" s="11"/>
    </row>
    <row r="25" spans="2:11" x14ac:dyDescent="0.3">
      <c r="B25" s="9">
        <f>MAX(B$5:B24)+1</f>
        <v>21</v>
      </c>
      <c r="C25" s="10"/>
      <c r="D25" s="49"/>
      <c r="E25" s="21"/>
      <c r="F25" s="22"/>
      <c r="G25" s="9"/>
      <c r="H25" s="9"/>
      <c r="I25" s="10"/>
      <c r="J25" s="11"/>
      <c r="K25" s="11"/>
    </row>
    <row r="26" spans="2:11" s="4" customFormat="1" x14ac:dyDescent="0.3">
      <c r="B26" s="9">
        <f>MAX(B$5:B25)+1</f>
        <v>22</v>
      </c>
      <c r="C26" s="10"/>
      <c r="D26" s="49"/>
      <c r="E26" s="21"/>
      <c r="F26" s="22"/>
      <c r="G26" s="9"/>
      <c r="H26" s="9"/>
      <c r="I26" s="10"/>
      <c r="J26" s="11"/>
      <c r="K26" s="11"/>
    </row>
    <row r="27" spans="2:11" x14ac:dyDescent="0.3">
      <c r="B27" s="9">
        <f>MAX(B$5:B26)+1</f>
        <v>23</v>
      </c>
      <c r="C27" s="10"/>
      <c r="D27" s="49"/>
      <c r="E27" s="21"/>
      <c r="F27" s="22"/>
      <c r="G27" s="9"/>
      <c r="H27" s="9"/>
      <c r="I27" s="10"/>
      <c r="J27" s="11"/>
      <c r="K27" s="11"/>
    </row>
    <row r="28" spans="2:11" x14ac:dyDescent="0.3">
      <c r="B28" s="9">
        <f>MAX(B$5:B27)+1</f>
        <v>24</v>
      </c>
      <c r="C28" s="10"/>
      <c r="D28" s="49"/>
      <c r="E28" s="21"/>
      <c r="F28" s="22"/>
      <c r="G28" s="9"/>
      <c r="H28" s="9"/>
      <c r="I28" s="10"/>
      <c r="J28" s="11"/>
      <c r="K28" s="11"/>
    </row>
    <row r="29" spans="2:11" x14ac:dyDescent="0.3">
      <c r="B29" s="9">
        <f>MAX(B$5:B28)+1</f>
        <v>25</v>
      </c>
      <c r="C29" s="10"/>
      <c r="D29" s="49"/>
      <c r="E29" s="21"/>
      <c r="F29" s="22"/>
      <c r="G29" s="9"/>
      <c r="H29" s="9"/>
      <c r="I29" s="10"/>
      <c r="J29" s="11"/>
      <c r="K29" s="11"/>
    </row>
    <row r="30" spans="2:11" x14ac:dyDescent="0.3">
      <c r="B30" s="9">
        <f>MAX(B$5:B29)+1</f>
        <v>26</v>
      </c>
      <c r="C30" s="10"/>
      <c r="D30" s="49"/>
      <c r="E30" s="21"/>
      <c r="F30" s="22"/>
      <c r="G30" s="9"/>
      <c r="H30" s="9"/>
      <c r="I30" s="10"/>
      <c r="J30" s="11"/>
      <c r="K30" s="11"/>
    </row>
    <row r="31" spans="2:11" x14ac:dyDescent="0.3">
      <c r="B31" s="9">
        <f>MAX(B$5:B30)+1</f>
        <v>27</v>
      </c>
      <c r="C31" s="10"/>
      <c r="D31" s="49"/>
      <c r="E31" s="21"/>
      <c r="F31" s="22"/>
      <c r="G31" s="9"/>
      <c r="H31" s="9"/>
      <c r="I31" s="10"/>
      <c r="J31" s="11"/>
      <c r="K31" s="11"/>
    </row>
    <row r="32" spans="2:11" x14ac:dyDescent="0.3">
      <c r="B32" s="9">
        <f>MAX(B$5:B31)+1</f>
        <v>28</v>
      </c>
      <c r="C32" s="10"/>
      <c r="D32" s="49"/>
      <c r="E32" s="21"/>
      <c r="F32" s="22"/>
      <c r="G32" s="9"/>
      <c r="H32" s="9"/>
      <c r="I32" s="10"/>
      <c r="J32" s="11"/>
      <c r="K32" s="11"/>
    </row>
    <row r="33" spans="2:11" x14ac:dyDescent="0.3">
      <c r="B33" s="9">
        <f>MAX(B$5:B32)+1</f>
        <v>29</v>
      </c>
      <c r="C33" s="10"/>
      <c r="D33" s="49"/>
      <c r="E33" s="21"/>
      <c r="F33" s="22"/>
      <c r="G33" s="9"/>
      <c r="H33" s="9"/>
      <c r="I33" s="10"/>
      <c r="J33" s="11"/>
      <c r="K33" s="11"/>
    </row>
    <row r="34" spans="2:11" x14ac:dyDescent="0.3">
      <c r="B34" s="9">
        <f>MAX(B$5:B33)+1</f>
        <v>30</v>
      </c>
      <c r="C34" s="10"/>
      <c r="D34" s="49"/>
      <c r="E34" s="21"/>
      <c r="F34" s="22"/>
      <c r="G34" s="9"/>
      <c r="H34" s="9"/>
      <c r="I34" s="10"/>
      <c r="J34" s="11"/>
      <c r="K34" s="11"/>
    </row>
    <row r="35" spans="2:11" x14ac:dyDescent="0.3">
      <c r="B35" s="9">
        <f>MAX(B$5:B34)+1</f>
        <v>31</v>
      </c>
      <c r="C35" s="10"/>
      <c r="D35" s="49"/>
      <c r="E35" s="21"/>
      <c r="F35" s="22"/>
      <c r="G35" s="9"/>
      <c r="H35" s="9"/>
      <c r="I35" s="10"/>
      <c r="J35" s="11"/>
      <c r="K35" s="11"/>
    </row>
    <row r="36" spans="2:11" x14ac:dyDescent="0.3">
      <c r="B36" s="9">
        <f>MAX(B$5:B35)+1</f>
        <v>32</v>
      </c>
      <c r="C36" s="10"/>
      <c r="D36" s="49"/>
      <c r="E36" s="21"/>
      <c r="F36" s="22"/>
      <c r="G36" s="9"/>
      <c r="H36" s="9"/>
      <c r="I36" s="10"/>
      <c r="J36" s="11"/>
      <c r="K36" s="11"/>
    </row>
    <row r="37" spans="2:11" x14ac:dyDescent="0.3">
      <c r="B37" s="9">
        <f>MAX(B$5:B36)+1</f>
        <v>33</v>
      </c>
      <c r="C37" s="10"/>
      <c r="D37" s="49"/>
      <c r="E37" s="21"/>
      <c r="F37" s="22"/>
      <c r="G37" s="9"/>
      <c r="H37" s="9"/>
      <c r="I37" s="10"/>
      <c r="J37" s="11"/>
      <c r="K37" s="11"/>
    </row>
    <row r="38" spans="2:11" x14ac:dyDescent="0.3">
      <c r="B38" s="9">
        <f>MAX(B$5:B37)+1</f>
        <v>34</v>
      </c>
      <c r="C38" s="10"/>
      <c r="D38" s="49"/>
      <c r="E38" s="21"/>
      <c r="F38" s="22"/>
      <c r="G38" s="9"/>
      <c r="H38" s="9"/>
      <c r="I38" s="10"/>
      <c r="J38" s="11"/>
      <c r="K38" s="11"/>
    </row>
    <row r="39" spans="2:11" x14ac:dyDescent="0.3">
      <c r="B39" s="9">
        <f>MAX(B$5:B38)+1</f>
        <v>35</v>
      </c>
      <c r="C39" s="10"/>
      <c r="D39" s="49"/>
      <c r="E39" s="21"/>
      <c r="F39" s="22"/>
      <c r="G39" s="9"/>
      <c r="H39" s="9"/>
      <c r="I39" s="10"/>
      <c r="J39" s="11"/>
      <c r="K39" s="11"/>
    </row>
    <row r="40" spans="2:11" x14ac:dyDescent="0.3">
      <c r="B40" s="9">
        <f>MAX(B$5:B39)+1</f>
        <v>36</v>
      </c>
      <c r="C40" s="10"/>
      <c r="D40" s="49"/>
      <c r="E40" s="21"/>
      <c r="F40" s="22"/>
      <c r="G40" s="9"/>
      <c r="H40" s="9"/>
      <c r="I40" s="10"/>
      <c r="J40" s="11"/>
      <c r="K40" s="11"/>
    </row>
    <row r="41" spans="2:11" x14ac:dyDescent="0.3">
      <c r="B41" s="9">
        <f>MAX(B$5:B40)+1</f>
        <v>37</v>
      </c>
      <c r="C41" s="10"/>
      <c r="D41" s="49"/>
      <c r="E41" s="21"/>
      <c r="F41" s="22"/>
      <c r="G41" s="9"/>
      <c r="H41" s="9"/>
      <c r="I41" s="10"/>
      <c r="J41" s="11"/>
      <c r="K41" s="11"/>
    </row>
    <row r="42" spans="2:11" x14ac:dyDescent="0.3">
      <c r="B42" s="9">
        <f>MAX(B$5:B41)+1</f>
        <v>38</v>
      </c>
      <c r="C42" s="10"/>
      <c r="D42" s="49"/>
      <c r="E42" s="21"/>
      <c r="F42" s="22"/>
      <c r="G42" s="9"/>
      <c r="H42" s="9"/>
      <c r="I42" s="10"/>
      <c r="J42" s="11"/>
      <c r="K42" s="11"/>
    </row>
    <row r="43" spans="2:11" x14ac:dyDescent="0.3">
      <c r="B43" s="9">
        <f>MAX(B$5:B42)+1</f>
        <v>39</v>
      </c>
      <c r="C43" s="10"/>
      <c r="D43" s="49"/>
      <c r="E43" s="21"/>
      <c r="F43" s="22"/>
      <c r="G43" s="9"/>
      <c r="H43" s="9"/>
      <c r="I43" s="10"/>
      <c r="J43" s="11"/>
      <c r="K43" s="11"/>
    </row>
    <row r="44" spans="2:11" x14ac:dyDescent="0.3">
      <c r="B44" s="9">
        <f>MAX(B$5:B43)+1</f>
        <v>40</v>
      </c>
      <c r="C44" s="10"/>
      <c r="D44" s="49"/>
      <c r="E44" s="21"/>
      <c r="F44" s="22"/>
      <c r="G44" s="9"/>
      <c r="H44" s="9"/>
      <c r="I44" s="10"/>
      <c r="J44" s="11"/>
      <c r="K44" s="11"/>
    </row>
    <row r="45" spans="2:11" x14ac:dyDescent="0.3">
      <c r="B45" s="9">
        <f>MAX(B$5:B44)+1</f>
        <v>41</v>
      </c>
      <c r="C45" s="10"/>
      <c r="D45" s="49"/>
      <c r="E45" s="21"/>
      <c r="F45" s="22"/>
      <c r="G45" s="9"/>
      <c r="H45" s="9"/>
      <c r="I45" s="10"/>
      <c r="J45" s="11"/>
      <c r="K45" s="11"/>
    </row>
    <row r="46" spans="2:11" x14ac:dyDescent="0.3">
      <c r="B46" s="9">
        <f>MAX(B$5:B45)+1</f>
        <v>42</v>
      </c>
      <c r="C46" s="10"/>
      <c r="D46" s="49"/>
      <c r="E46" s="21"/>
      <c r="F46" s="22"/>
      <c r="G46" s="9"/>
      <c r="H46" s="9"/>
      <c r="I46" s="10"/>
      <c r="J46" s="11"/>
      <c r="K46" s="11"/>
    </row>
    <row r="47" spans="2:11" x14ac:dyDescent="0.3">
      <c r="B47" s="9">
        <f>MAX(B$5:B46)+1</f>
        <v>43</v>
      </c>
      <c r="C47" s="10"/>
      <c r="D47" s="49"/>
      <c r="E47" s="21"/>
      <c r="F47" s="22"/>
      <c r="G47" s="9"/>
      <c r="H47" s="9"/>
      <c r="I47" s="10"/>
      <c r="J47" s="11"/>
      <c r="K47" s="11"/>
    </row>
    <row r="48" spans="2:11" x14ac:dyDescent="0.3">
      <c r="B48" s="9">
        <f>MAX(B$5:B47)+1</f>
        <v>44</v>
      </c>
      <c r="C48" s="10"/>
      <c r="D48" s="49"/>
      <c r="E48" s="21"/>
      <c r="F48" s="22"/>
      <c r="G48" s="9"/>
      <c r="H48" s="9"/>
      <c r="I48" s="10"/>
      <c r="J48" s="11"/>
      <c r="K48" s="11"/>
    </row>
    <row r="49" spans="2:11" x14ac:dyDescent="0.3">
      <c r="B49" s="9">
        <f>MAX(B$5:B48)+1</f>
        <v>45</v>
      </c>
      <c r="C49" s="10"/>
      <c r="D49" s="49"/>
      <c r="E49" s="21"/>
      <c r="F49" s="22"/>
      <c r="G49" s="9"/>
      <c r="H49" s="9"/>
      <c r="I49" s="10"/>
      <c r="J49" s="11"/>
      <c r="K49" s="11"/>
    </row>
    <row r="50" spans="2:11" x14ac:dyDescent="0.3">
      <c r="B50" s="9">
        <f>MAX(B$5:B49)+1</f>
        <v>46</v>
      </c>
      <c r="C50" s="10"/>
      <c r="D50" s="49"/>
      <c r="E50" s="21"/>
      <c r="F50" s="22"/>
      <c r="G50" s="9"/>
      <c r="H50" s="9"/>
      <c r="I50" s="10"/>
      <c r="J50" s="11"/>
      <c r="K50" s="11"/>
    </row>
    <row r="51" spans="2:11" x14ac:dyDescent="0.3">
      <c r="B51" s="9">
        <f>MAX(B$5:B50)+1</f>
        <v>47</v>
      </c>
      <c r="C51" s="10"/>
      <c r="D51" s="49"/>
      <c r="E51" s="21"/>
      <c r="F51" s="22"/>
      <c r="G51" s="9"/>
      <c r="H51" s="9"/>
      <c r="I51" s="10"/>
      <c r="J51" s="11"/>
      <c r="K51" s="11"/>
    </row>
    <row r="52" spans="2:11" x14ac:dyDescent="0.3">
      <c r="B52" s="9">
        <f>MAX(B$5:B51)+1</f>
        <v>48</v>
      </c>
      <c r="C52" s="10"/>
      <c r="D52" s="49"/>
      <c r="E52" s="21"/>
      <c r="F52" s="22"/>
      <c r="G52" s="9"/>
      <c r="H52" s="9"/>
      <c r="I52" s="10"/>
      <c r="J52" s="11"/>
      <c r="K52" s="11"/>
    </row>
    <row r="53" spans="2:11" x14ac:dyDescent="0.3">
      <c r="B53" s="9">
        <f>MAX(B$5:B52)+1</f>
        <v>49</v>
      </c>
      <c r="C53" s="10"/>
      <c r="D53" s="49"/>
      <c r="E53" s="21"/>
      <c r="F53" s="22"/>
      <c r="G53" s="9"/>
      <c r="H53" s="9"/>
      <c r="I53" s="10"/>
      <c r="J53" s="11"/>
      <c r="K53" s="11"/>
    </row>
    <row r="54" spans="2:11" x14ac:dyDescent="0.3">
      <c r="B54" s="9">
        <f>MAX(B$5:B53)+1</f>
        <v>50</v>
      </c>
      <c r="C54" s="10"/>
      <c r="D54" s="49"/>
      <c r="E54" s="21"/>
      <c r="F54" s="22"/>
      <c r="G54" s="9"/>
      <c r="H54" s="9"/>
      <c r="I54" s="10"/>
      <c r="J54" s="11"/>
      <c r="K54" s="11"/>
    </row>
    <row r="55" spans="2:11" x14ac:dyDescent="0.3">
      <c r="B55" s="9">
        <f>MAX(B$5:B54)+1</f>
        <v>51</v>
      </c>
      <c r="C55" s="10"/>
      <c r="D55" s="49"/>
      <c r="E55" s="21"/>
      <c r="F55" s="22"/>
      <c r="G55" s="9"/>
      <c r="H55" s="9"/>
      <c r="I55" s="10"/>
      <c r="J55" s="11"/>
      <c r="K55" s="11"/>
    </row>
    <row r="56" spans="2:11" x14ac:dyDescent="0.3">
      <c r="B56" s="9">
        <f>MAX(B$5:B55)+1</f>
        <v>52</v>
      </c>
      <c r="C56" s="10"/>
      <c r="D56" s="49"/>
      <c r="E56" s="21"/>
      <c r="F56" s="22"/>
      <c r="G56" s="9"/>
      <c r="H56" s="9"/>
      <c r="I56" s="10"/>
      <c r="J56" s="11"/>
      <c r="K56" s="11"/>
    </row>
    <row r="57" spans="2:11" x14ac:dyDescent="0.3">
      <c r="B57" s="9">
        <f>MAX(B$5:B56)+1</f>
        <v>53</v>
      </c>
      <c r="C57" s="10"/>
      <c r="D57" s="49"/>
      <c r="E57" s="21"/>
      <c r="F57" s="22"/>
      <c r="G57" s="9"/>
      <c r="H57" s="9"/>
      <c r="I57" s="10"/>
      <c r="J57" s="11"/>
      <c r="K57" s="11"/>
    </row>
    <row r="58" spans="2:11" x14ac:dyDescent="0.3">
      <c r="B58" s="9">
        <f>MAX(B$5:B57)+1</f>
        <v>54</v>
      </c>
      <c r="C58" s="10"/>
      <c r="D58" s="49"/>
      <c r="E58" s="21"/>
      <c r="F58" s="22"/>
      <c r="G58" s="9"/>
      <c r="H58" s="9"/>
      <c r="I58" s="10"/>
      <c r="J58" s="11"/>
      <c r="K58" s="11"/>
    </row>
    <row r="59" spans="2:11" x14ac:dyDescent="0.3">
      <c r="B59" s="9">
        <f>MAX(B$5:B58)+1</f>
        <v>55</v>
      </c>
      <c r="C59" s="10"/>
      <c r="D59" s="49"/>
      <c r="E59" s="21"/>
      <c r="F59" s="22"/>
      <c r="G59" s="9"/>
      <c r="H59" s="9"/>
      <c r="I59" s="10"/>
      <c r="J59" s="11"/>
      <c r="K59" s="11"/>
    </row>
    <row r="60" spans="2:11" x14ac:dyDescent="0.3">
      <c r="B60" s="9">
        <f>MAX(B$5:B59)+1</f>
        <v>56</v>
      </c>
      <c r="C60" s="10"/>
      <c r="D60" s="49"/>
      <c r="E60" s="21"/>
      <c r="F60" s="22"/>
      <c r="G60" s="9"/>
      <c r="H60" s="9"/>
      <c r="I60" s="10"/>
      <c r="J60" s="11"/>
      <c r="K60" s="11"/>
    </row>
    <row r="61" spans="2:11" x14ac:dyDescent="0.3">
      <c r="B61" s="9">
        <f>MAX(B$5:B60)+1</f>
        <v>57</v>
      </c>
      <c r="C61" s="10"/>
      <c r="D61" s="49"/>
      <c r="E61" s="21"/>
      <c r="F61" s="22"/>
      <c r="G61" s="9"/>
      <c r="H61" s="9"/>
      <c r="I61" s="10"/>
      <c r="J61" s="11"/>
      <c r="K61" s="11"/>
    </row>
    <row r="62" spans="2:11" x14ac:dyDescent="0.3">
      <c r="B62" s="9">
        <f>MAX(B$5:B61)+1</f>
        <v>58</v>
      </c>
      <c r="C62" s="10"/>
      <c r="D62" s="49"/>
      <c r="E62" s="21"/>
      <c r="F62" s="22"/>
      <c r="G62" s="9"/>
      <c r="H62" s="9"/>
      <c r="I62" s="10"/>
      <c r="J62" s="11"/>
      <c r="K62" s="11"/>
    </row>
    <row r="63" spans="2:11" x14ac:dyDescent="0.3">
      <c r="B63" s="9">
        <f>MAX(B$5:B62)+1</f>
        <v>59</v>
      </c>
      <c r="C63" s="10"/>
      <c r="D63" s="49"/>
      <c r="E63" s="21"/>
      <c r="F63" s="22"/>
      <c r="G63" s="9"/>
      <c r="H63" s="9"/>
      <c r="I63" s="10"/>
      <c r="J63" s="11"/>
      <c r="K63" s="11"/>
    </row>
    <row r="64" spans="2:11" x14ac:dyDescent="0.3">
      <c r="B64" s="9">
        <f>MAX(B$5:B63)+1</f>
        <v>60</v>
      </c>
      <c r="C64" s="10"/>
      <c r="D64" s="49"/>
      <c r="E64" s="21"/>
      <c r="F64" s="22"/>
      <c r="G64" s="9"/>
      <c r="H64" s="9"/>
      <c r="I64" s="10"/>
      <c r="J64" s="11"/>
      <c r="K64" s="11"/>
    </row>
    <row r="65" spans="2:11" x14ac:dyDescent="0.3">
      <c r="B65" s="9">
        <f>MAX(B$5:B64)+1</f>
        <v>61</v>
      </c>
      <c r="C65" s="10"/>
      <c r="D65" s="49"/>
      <c r="E65" s="21"/>
      <c r="F65" s="22"/>
      <c r="G65" s="9"/>
      <c r="H65" s="9"/>
      <c r="I65" s="10"/>
      <c r="J65" s="11"/>
      <c r="K65" s="11"/>
    </row>
    <row r="66" spans="2:11" x14ac:dyDescent="0.3">
      <c r="B66" s="9">
        <f>MAX(B$5:B65)+1</f>
        <v>62</v>
      </c>
      <c r="C66" s="10"/>
      <c r="D66" s="49"/>
      <c r="E66" s="21"/>
      <c r="F66" s="22"/>
      <c r="G66" s="9"/>
      <c r="H66" s="9"/>
      <c r="I66" s="10"/>
      <c r="J66" s="11"/>
      <c r="K66" s="11"/>
    </row>
    <row r="67" spans="2:11" x14ac:dyDescent="0.3">
      <c r="B67" s="9">
        <f>MAX(B$5:B66)+1</f>
        <v>63</v>
      </c>
      <c r="C67" s="10"/>
      <c r="D67" s="49"/>
      <c r="E67" s="21"/>
      <c r="F67" s="22"/>
      <c r="G67" s="9"/>
      <c r="H67" s="9"/>
      <c r="I67" s="10"/>
      <c r="J67" s="11"/>
      <c r="K67" s="11"/>
    </row>
    <row r="68" spans="2:11" x14ac:dyDescent="0.3">
      <c r="B68" s="9">
        <f>MAX(B$5:B67)+1</f>
        <v>64</v>
      </c>
      <c r="C68" s="10"/>
      <c r="D68" s="49"/>
      <c r="E68" s="21"/>
      <c r="F68" s="22"/>
      <c r="G68" s="9"/>
      <c r="H68" s="9"/>
      <c r="I68" s="10"/>
      <c r="J68" s="11"/>
      <c r="K68" s="11"/>
    </row>
    <row r="69" spans="2:11" x14ac:dyDescent="0.3">
      <c r="B69" s="9">
        <f>MAX(B$5:B68)+1</f>
        <v>65</v>
      </c>
      <c r="C69" s="10"/>
      <c r="D69" s="49"/>
      <c r="E69" s="21"/>
      <c r="F69" s="22"/>
      <c r="G69" s="9"/>
      <c r="H69" s="9"/>
      <c r="I69" s="10"/>
      <c r="J69" s="11"/>
      <c r="K69" s="11"/>
    </row>
    <row r="70" spans="2:11" x14ac:dyDescent="0.3">
      <c r="B70" s="9">
        <f>MAX(B$5:B69)+1</f>
        <v>66</v>
      </c>
      <c r="C70" s="10"/>
      <c r="D70" s="49"/>
      <c r="E70" s="21"/>
      <c r="F70" s="22"/>
      <c r="G70" s="9"/>
      <c r="H70" s="9"/>
      <c r="I70" s="10"/>
      <c r="J70" s="11"/>
      <c r="K70" s="11"/>
    </row>
    <row r="71" spans="2:11" x14ac:dyDescent="0.3">
      <c r="B71" s="9">
        <f>MAX(B$5:B70)+1</f>
        <v>67</v>
      </c>
      <c r="C71" s="10"/>
      <c r="D71" s="49"/>
      <c r="E71" s="21"/>
      <c r="F71" s="22"/>
      <c r="G71" s="9"/>
      <c r="H71" s="9"/>
      <c r="I71" s="10"/>
      <c r="J71" s="11"/>
      <c r="K71" s="11"/>
    </row>
    <row r="72" spans="2:11" x14ac:dyDescent="0.3">
      <c r="B72" s="9">
        <f>MAX(B$5:B71)+1</f>
        <v>68</v>
      </c>
      <c r="C72" s="10"/>
      <c r="D72" s="49"/>
      <c r="E72" s="21"/>
      <c r="F72" s="22"/>
      <c r="G72" s="9"/>
      <c r="H72" s="9"/>
      <c r="I72" s="10"/>
      <c r="J72" s="11"/>
      <c r="K72" s="11"/>
    </row>
    <row r="73" spans="2:11" x14ac:dyDescent="0.3">
      <c r="B73" s="9">
        <f>MAX(B$5:B72)+1</f>
        <v>69</v>
      </c>
      <c r="C73" s="10"/>
      <c r="D73" s="49"/>
      <c r="E73" s="21"/>
      <c r="F73" s="22"/>
      <c r="G73" s="9"/>
      <c r="H73" s="9"/>
      <c r="I73" s="10"/>
      <c r="J73" s="11"/>
      <c r="K73" s="11"/>
    </row>
    <row r="74" spans="2:11" x14ac:dyDescent="0.3">
      <c r="B74" s="9">
        <f>MAX(B$5:B73)+1</f>
        <v>70</v>
      </c>
      <c r="C74" s="10"/>
      <c r="D74" s="49"/>
      <c r="E74" s="21"/>
      <c r="F74" s="22"/>
      <c r="G74" s="9"/>
      <c r="H74" s="9"/>
      <c r="I74" s="10"/>
      <c r="J74" s="11"/>
      <c r="K74" s="11"/>
    </row>
    <row r="75" spans="2:11" x14ac:dyDescent="0.3">
      <c r="B75" s="9">
        <f>MAX(B$5:B74)+1</f>
        <v>71</v>
      </c>
      <c r="C75" s="10"/>
      <c r="D75" s="49"/>
      <c r="E75" s="21"/>
      <c r="F75" s="22"/>
      <c r="G75" s="9"/>
      <c r="H75" s="9"/>
      <c r="I75" s="10"/>
      <c r="J75" s="11"/>
      <c r="K75" s="11"/>
    </row>
    <row r="76" spans="2:11" x14ac:dyDescent="0.3">
      <c r="B76" s="9">
        <f>MAX(B$5:B75)+1</f>
        <v>72</v>
      </c>
      <c r="C76" s="10"/>
      <c r="D76" s="49"/>
      <c r="E76" s="21"/>
      <c r="F76" s="22"/>
      <c r="G76" s="9"/>
      <c r="H76" s="9"/>
      <c r="I76" s="10"/>
      <c r="J76" s="11"/>
      <c r="K76" s="11"/>
    </row>
    <row r="77" spans="2:11" x14ac:dyDescent="0.3">
      <c r="B77" s="9">
        <f>MAX(B$5:B76)+1</f>
        <v>73</v>
      </c>
      <c r="C77" s="10"/>
      <c r="D77" s="49"/>
      <c r="E77" s="21"/>
      <c r="F77" s="22"/>
      <c r="G77" s="9"/>
      <c r="H77" s="9"/>
      <c r="I77" s="10"/>
      <c r="J77" s="11"/>
      <c r="K77" s="11"/>
    </row>
    <row r="78" spans="2:11" x14ac:dyDescent="0.3">
      <c r="B78" s="9">
        <f>MAX(B$5:B77)+1</f>
        <v>74</v>
      </c>
      <c r="C78" s="10"/>
      <c r="D78" s="49"/>
      <c r="E78" s="21"/>
      <c r="F78" s="22"/>
      <c r="G78" s="9"/>
      <c r="H78" s="9"/>
      <c r="I78" s="10"/>
      <c r="J78" s="11"/>
      <c r="K78" s="11"/>
    </row>
    <row r="79" spans="2:11" x14ac:dyDescent="0.3">
      <c r="B79" s="9">
        <f>MAX(B$5:B78)+1</f>
        <v>75</v>
      </c>
      <c r="C79" s="10"/>
      <c r="D79" s="49"/>
      <c r="E79" s="21"/>
      <c r="F79" s="22"/>
      <c r="G79" s="9"/>
      <c r="H79" s="9"/>
      <c r="I79" s="10"/>
      <c r="J79" s="11"/>
      <c r="K79" s="11"/>
    </row>
    <row r="80" spans="2:11" x14ac:dyDescent="0.3">
      <c r="B80" s="9">
        <f>MAX(B$5:B79)+1</f>
        <v>76</v>
      </c>
      <c r="C80" s="10"/>
      <c r="D80" s="49"/>
      <c r="E80" s="21"/>
      <c r="F80" s="22"/>
      <c r="G80" s="9"/>
      <c r="H80" s="9"/>
      <c r="I80" s="10"/>
      <c r="J80" s="11"/>
      <c r="K80" s="11"/>
    </row>
    <row r="81" spans="2:11" x14ac:dyDescent="0.3">
      <c r="B81" s="9">
        <f>MAX(B$5:B80)+1</f>
        <v>77</v>
      </c>
      <c r="C81" s="10"/>
      <c r="D81" s="49"/>
      <c r="E81" s="21"/>
      <c r="F81" s="22"/>
      <c r="G81" s="9"/>
      <c r="H81" s="9"/>
      <c r="I81" s="10"/>
      <c r="J81" s="11"/>
      <c r="K81" s="11"/>
    </row>
    <row r="82" spans="2:11" x14ac:dyDescent="0.3">
      <c r="B82" s="9">
        <f>MAX(B$5:B81)+1</f>
        <v>78</v>
      </c>
      <c r="C82" s="10"/>
      <c r="D82" s="49"/>
      <c r="E82" s="21"/>
      <c r="F82" s="22"/>
      <c r="G82" s="9"/>
      <c r="H82" s="9"/>
      <c r="I82" s="10"/>
      <c r="J82" s="11"/>
      <c r="K82" s="11"/>
    </row>
    <row r="83" spans="2:11" x14ac:dyDescent="0.3">
      <c r="B83" s="9">
        <f>MAX(B$5:B82)+1</f>
        <v>79</v>
      </c>
      <c r="C83" s="10"/>
      <c r="D83" s="49"/>
      <c r="E83" s="21"/>
      <c r="F83" s="22"/>
      <c r="G83" s="9"/>
      <c r="H83" s="9"/>
      <c r="I83" s="10"/>
      <c r="J83" s="11"/>
      <c r="K83" s="11"/>
    </row>
    <row r="84" spans="2:11" x14ac:dyDescent="0.3">
      <c r="B84" s="9">
        <f>MAX(B$5:B83)+1</f>
        <v>80</v>
      </c>
      <c r="C84" s="10"/>
      <c r="D84" s="49"/>
      <c r="E84" s="21"/>
      <c r="F84" s="22"/>
      <c r="G84" s="9"/>
      <c r="H84" s="9"/>
      <c r="I84" s="10"/>
      <c r="J84" s="11"/>
      <c r="K84" s="11"/>
    </row>
    <row r="85" spans="2:11" x14ac:dyDescent="0.3">
      <c r="B85" s="9">
        <f>MAX(B$5:B84)+1</f>
        <v>81</v>
      </c>
      <c r="C85" s="10"/>
      <c r="D85" s="49"/>
      <c r="E85" s="21"/>
      <c r="F85" s="22"/>
      <c r="G85" s="9"/>
      <c r="H85" s="9"/>
      <c r="I85" s="10"/>
      <c r="J85" s="11"/>
      <c r="K85" s="11"/>
    </row>
    <row r="86" spans="2:11" x14ac:dyDescent="0.3">
      <c r="B86" s="9">
        <f>MAX(B$5:B85)+1</f>
        <v>82</v>
      </c>
      <c r="C86" s="10"/>
      <c r="D86" s="49"/>
      <c r="E86" s="21"/>
      <c r="F86" s="22"/>
      <c r="G86" s="9"/>
      <c r="H86" s="9"/>
      <c r="I86" s="10"/>
      <c r="J86" s="11"/>
      <c r="K86" s="11"/>
    </row>
    <row r="87" spans="2:11" x14ac:dyDescent="0.3">
      <c r="B87" s="9">
        <f>MAX(B$5:B86)+1</f>
        <v>83</v>
      </c>
      <c r="C87" s="10"/>
      <c r="D87" s="49"/>
      <c r="E87" s="21"/>
      <c r="F87" s="22"/>
      <c r="G87" s="9"/>
      <c r="H87" s="9"/>
      <c r="I87" s="10"/>
      <c r="J87" s="11"/>
      <c r="K87" s="11"/>
    </row>
    <row r="88" spans="2:11" x14ac:dyDescent="0.3">
      <c r="B88" s="9">
        <f>MAX(B$5:B87)+1</f>
        <v>84</v>
      </c>
      <c r="C88" s="10"/>
      <c r="D88" s="49"/>
      <c r="E88" s="21"/>
      <c r="F88" s="22"/>
      <c r="G88" s="9"/>
      <c r="H88" s="9"/>
      <c r="I88" s="10"/>
      <c r="J88" s="11"/>
      <c r="K88" s="11"/>
    </row>
    <row r="89" spans="2:11" x14ac:dyDescent="0.3">
      <c r="B89" s="9">
        <f>MAX(B$5:B88)+1</f>
        <v>85</v>
      </c>
      <c r="C89" s="10"/>
      <c r="D89" s="49"/>
      <c r="E89" s="21"/>
      <c r="F89" s="22"/>
      <c r="G89" s="9"/>
      <c r="H89" s="9"/>
      <c r="I89" s="10"/>
      <c r="J89" s="11"/>
      <c r="K89" s="11"/>
    </row>
    <row r="90" spans="2:11" x14ac:dyDescent="0.3">
      <c r="B90" s="9">
        <f>MAX(B$5:B89)+1</f>
        <v>86</v>
      </c>
      <c r="C90" s="10"/>
      <c r="D90" s="49"/>
      <c r="E90" s="21"/>
      <c r="F90" s="22"/>
      <c r="G90" s="9"/>
      <c r="H90" s="9"/>
      <c r="I90" s="10"/>
      <c r="J90" s="11"/>
      <c r="K90" s="11"/>
    </row>
    <row r="91" spans="2:11" x14ac:dyDescent="0.3">
      <c r="B91" s="9">
        <f>MAX(B$5:B90)+1</f>
        <v>87</v>
      </c>
      <c r="C91" s="10"/>
      <c r="D91" s="49"/>
      <c r="E91" s="21"/>
      <c r="F91" s="22"/>
      <c r="G91" s="9"/>
      <c r="H91" s="9"/>
      <c r="I91" s="10"/>
      <c r="J91" s="11"/>
      <c r="K91" s="11"/>
    </row>
    <row r="92" spans="2:11" x14ac:dyDescent="0.3">
      <c r="B92" s="9">
        <f>MAX(B$5:B91)+1</f>
        <v>88</v>
      </c>
      <c r="C92" s="10"/>
      <c r="D92" s="49"/>
      <c r="E92" s="21"/>
      <c r="F92" s="22"/>
      <c r="G92" s="9"/>
      <c r="H92" s="9"/>
      <c r="I92" s="10"/>
      <c r="J92" s="11"/>
      <c r="K92" s="11"/>
    </row>
    <row r="93" spans="2:11" x14ac:dyDescent="0.3">
      <c r="B93" s="9">
        <f>MAX(B$5:B92)+1</f>
        <v>89</v>
      </c>
      <c r="C93" s="10"/>
      <c r="D93" s="49"/>
      <c r="E93" s="21"/>
      <c r="F93" s="22"/>
      <c r="G93" s="9"/>
      <c r="H93" s="9"/>
      <c r="I93" s="10"/>
      <c r="J93" s="11"/>
      <c r="K93" s="11"/>
    </row>
    <row r="94" spans="2:11" x14ac:dyDescent="0.3">
      <c r="B94" s="9">
        <f>MAX(B$5:B93)+1</f>
        <v>90</v>
      </c>
      <c r="C94" s="10"/>
      <c r="D94" s="49"/>
      <c r="E94" s="21"/>
      <c r="F94" s="22"/>
      <c r="G94" s="9"/>
      <c r="H94" s="9"/>
      <c r="I94" s="10"/>
      <c r="J94" s="11"/>
      <c r="K94" s="11"/>
    </row>
    <row r="95" spans="2:11" x14ac:dyDescent="0.3">
      <c r="B95" s="9">
        <f>MAX(B$5:B94)+1</f>
        <v>91</v>
      </c>
      <c r="C95" s="10"/>
      <c r="D95" s="49"/>
      <c r="E95" s="21"/>
      <c r="F95" s="22"/>
      <c r="G95" s="9"/>
      <c r="H95" s="9"/>
      <c r="I95" s="10"/>
      <c r="J95" s="11"/>
      <c r="K95" s="11"/>
    </row>
    <row r="96" spans="2:11" x14ac:dyDescent="0.3">
      <c r="B96" s="9">
        <f>MAX(B$5:B95)+1</f>
        <v>92</v>
      </c>
      <c r="C96" s="10"/>
      <c r="D96" s="49"/>
      <c r="E96" s="21"/>
      <c r="F96" s="22"/>
      <c r="G96" s="9"/>
      <c r="H96" s="9"/>
      <c r="I96" s="10"/>
      <c r="J96" s="11"/>
      <c r="K96" s="11"/>
    </row>
    <row r="97" spans="2:11" x14ac:dyDescent="0.3">
      <c r="B97" s="9">
        <f>MAX(B$5:B96)+1</f>
        <v>93</v>
      </c>
      <c r="C97" s="10"/>
      <c r="D97" s="49"/>
      <c r="E97" s="21"/>
      <c r="F97" s="22"/>
      <c r="G97" s="9"/>
      <c r="H97" s="9"/>
      <c r="I97" s="10"/>
      <c r="J97" s="11"/>
      <c r="K97" s="11"/>
    </row>
    <row r="98" spans="2:11" x14ac:dyDescent="0.3">
      <c r="B98" s="9">
        <f>MAX(B$5:B97)+1</f>
        <v>94</v>
      </c>
      <c r="C98" s="10"/>
      <c r="D98" s="49"/>
      <c r="E98" s="21"/>
      <c r="F98" s="22"/>
      <c r="G98" s="9"/>
      <c r="H98" s="9"/>
      <c r="I98" s="10"/>
      <c r="J98" s="11"/>
      <c r="K98" s="11"/>
    </row>
    <row r="99" spans="2:11" x14ac:dyDescent="0.3">
      <c r="B99" s="9">
        <f>MAX(B$5:B98)+1</f>
        <v>95</v>
      </c>
      <c r="C99" s="10"/>
      <c r="D99" s="49"/>
      <c r="E99" s="21"/>
      <c r="F99" s="22"/>
      <c r="G99" s="9"/>
      <c r="H99" s="9"/>
      <c r="I99" s="10"/>
      <c r="J99" s="11"/>
      <c r="K99" s="11"/>
    </row>
    <row r="100" spans="2:11" x14ac:dyDescent="0.3">
      <c r="B100" s="9">
        <f>MAX(B$5:B99)+1</f>
        <v>96</v>
      </c>
      <c r="C100" s="10"/>
      <c r="D100" s="49"/>
      <c r="E100" s="21"/>
      <c r="F100" s="22"/>
      <c r="G100" s="9"/>
      <c r="H100" s="9"/>
      <c r="I100" s="10"/>
      <c r="J100" s="11"/>
      <c r="K100" s="11"/>
    </row>
    <row r="101" spans="2:11" x14ac:dyDescent="0.3">
      <c r="B101" s="9">
        <f>MAX(B$5:B100)+1</f>
        <v>97</v>
      </c>
      <c r="C101" s="10"/>
      <c r="D101" s="49"/>
      <c r="E101" s="21"/>
      <c r="F101" s="22"/>
      <c r="G101" s="9"/>
      <c r="H101" s="9"/>
      <c r="I101" s="10"/>
      <c r="J101" s="11"/>
      <c r="K101" s="11"/>
    </row>
    <row r="102" spans="2:11" x14ac:dyDescent="0.3">
      <c r="B102" s="9">
        <f>MAX(B$5:B101)+1</f>
        <v>98</v>
      </c>
      <c r="C102" s="10"/>
      <c r="D102" s="49"/>
      <c r="E102" s="21"/>
      <c r="F102" s="22"/>
      <c r="G102" s="9"/>
      <c r="H102" s="9"/>
      <c r="I102" s="10"/>
      <c r="J102" s="11"/>
      <c r="K102" s="11"/>
    </row>
    <row r="103" spans="2:11" x14ac:dyDescent="0.3">
      <c r="B103" s="9">
        <f>MAX(B$5:B102)+1</f>
        <v>99</v>
      </c>
      <c r="C103" s="10"/>
      <c r="D103" s="49"/>
      <c r="E103" s="21"/>
      <c r="F103" s="22"/>
      <c r="G103" s="9"/>
      <c r="H103" s="9"/>
      <c r="I103" s="10"/>
      <c r="J103" s="11"/>
      <c r="K103" s="11"/>
    </row>
    <row r="104" spans="2:11" x14ac:dyDescent="0.3">
      <c r="B104" s="9">
        <f>MAX(B$5:B103)+1</f>
        <v>100</v>
      </c>
      <c r="C104" s="10"/>
      <c r="D104" s="49"/>
      <c r="E104" s="21"/>
      <c r="F104" s="22"/>
      <c r="G104" s="9"/>
      <c r="H104" s="9"/>
      <c r="I104" s="10"/>
      <c r="J104" s="11"/>
      <c r="K104" s="11"/>
    </row>
  </sheetData>
  <autoFilter ref="B4:K100" xr:uid="{2D4331C9-A8AC-4864-9301-3B23967FC127}"/>
  <conditionalFormatting sqref="G5:G496">
    <cfRule type="expression" dxfId="17" priority="142">
      <formula>SEARCH("Medium",$G5)&gt;0</formula>
    </cfRule>
    <cfRule type="expression" dxfId="16" priority="225">
      <formula>SEARCH("High",$G5)&gt;0</formula>
    </cfRule>
    <cfRule type="expression" dxfId="15" priority="226">
      <formula>SEARCH("Highest",$G5)&gt;0</formula>
    </cfRule>
  </conditionalFormatting>
  <conditionalFormatting sqref="H5:H496">
    <cfRule type="expression" dxfId="14" priority="227">
      <formula>SEARCH("Partial",$H5)&gt;0</formula>
    </cfRule>
    <cfRule type="expression" dxfId="13" priority="228">
      <formula>SEARCH("Open",$H5)&gt;0</formula>
    </cfRule>
    <cfRule type="expression" dxfId="12" priority="260">
      <formula>SEARCH("Closed",$H5)&gt;0</formula>
    </cfRule>
  </conditionalFormatting>
  <dataValidations disablePrompts="1" count="3">
    <dataValidation type="list" allowBlank="1" showInputMessage="1" showErrorMessage="1" sqref="H5:H104" xr:uid="{140463D2-76CE-4C3E-B8DB-3A127BCA3C47}">
      <formula1>"Open, Partial, Closed, N/A"</formula1>
    </dataValidation>
    <dataValidation type="list" allowBlank="1" showInputMessage="1" showErrorMessage="1" sqref="H5:H104" xr:uid="{62929BDC-04D9-433B-B7CB-9928F78FFB79}">
      <formula1>"High, Medium, Low"</formula1>
    </dataValidation>
    <dataValidation type="list" allowBlank="1" showInputMessage="1" showErrorMessage="1" sqref="G5:G128" xr:uid="{88866656-3850-4129-8D41-93F10001D8E4}">
      <formula1>"Highest, High, Medium, Low"</formula1>
    </dataValidation>
  </dataValidations>
  <printOptions horizontalCentered="1"/>
  <pageMargins left="0.25" right="0.25" top="0.25" bottom="0.5" header="0" footer="0.25"/>
  <pageSetup scale="47" fitToHeight="0" orientation="landscape" r:id="rId1"/>
  <headerFooter alignWithMargins="0">
    <oddFooter>&amp;L&amp;1#&amp;"Calibri,Regular"&amp;10&amp;K000000Confidential&amp;C&amp;G&amp;R&amp;8&amp;P of &amp;N</oddFooter>
  </headerFooter>
  <customProperties>
    <customPr name="Guid" r:id="rId2"/>
  </customProperties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C4D2FA-42D4-45B5-B701-A6890E2C0866}">
          <x14:formula1>
            <xm:f>Overview!$B$20:$B$29</xm:f>
          </x14:formula1>
          <xm:sqref>D5:D104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F4C8-A823-4762-A420-216E06D4D360}">
  <sheetPr>
    <pageSetUpPr fitToPage="1"/>
  </sheetPr>
  <dimension ref="A1:K131"/>
  <sheetViews>
    <sheetView showGridLines="0" zoomScale="85" zoomScaleNormal="85" zoomScaleSheetLayoutView="85" zoomScalePageLayoutView="150" workbookViewId="0">
      <pane xSplit="8" ySplit="4" topLeftCell="I5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ColWidth="8.53515625" defaultRowHeight="12.45" x14ac:dyDescent="0.3"/>
  <cols>
    <col min="1" max="1" width="1.53515625" style="1" customWidth="1"/>
    <col min="2" max="2" width="5.53515625" style="1" customWidth="1"/>
    <col min="3" max="3" width="13.4609375" style="1" bestFit="1" customWidth="1"/>
    <col min="4" max="4" width="15.53515625" style="50" customWidth="1"/>
    <col min="5" max="5" width="65.69140625" style="2" customWidth="1"/>
    <col min="6" max="6" width="13.4609375" style="3" customWidth="1"/>
    <col min="7" max="9" width="10.53515625" style="1" customWidth="1"/>
    <col min="10" max="11" width="65.69140625" style="3" customWidth="1"/>
  </cols>
  <sheetData>
    <row r="1" spans="1:11" ht="10.4" customHeight="1" x14ac:dyDescent="0.3">
      <c r="A1" s="6"/>
      <c r="B1" s="8"/>
      <c r="C1" s="8"/>
      <c r="D1" s="47"/>
      <c r="E1" s="6"/>
      <c r="F1" s="6"/>
      <c r="G1" s="7"/>
      <c r="H1" s="7"/>
      <c r="I1" s="7"/>
      <c r="J1" s="7"/>
      <c r="K1" s="7"/>
    </row>
    <row r="2" spans="1:11" ht="20.149999999999999" customHeight="1" x14ac:dyDescent="0.3">
      <c r="A2" s="6"/>
      <c r="B2" s="32" t="str">
        <f ca="1">Project&amp;"  |  "&amp;REPLACE(CELL("filename",D1),1,FIND("]",CELL("filename",D1)),"")&amp;" Diligence Tracker"</f>
        <v xml:space="preserve"> Project Beacon  |  Advisor B Diligence Tracker</v>
      </c>
      <c r="C2" s="33"/>
      <c r="D2" s="48"/>
      <c r="E2" s="31"/>
      <c r="F2" s="34"/>
      <c r="G2" s="31"/>
      <c r="H2" s="31"/>
      <c r="I2" s="31"/>
      <c r="J2" s="31"/>
      <c r="K2" s="35"/>
    </row>
    <row r="4" spans="1:11" ht="24.9" x14ac:dyDescent="0.3">
      <c r="A4" s="23"/>
      <c r="B4" s="25" t="s">
        <v>18</v>
      </c>
      <c r="C4" s="24" t="s">
        <v>19</v>
      </c>
      <c r="D4" s="24" t="s">
        <v>20</v>
      </c>
      <c r="E4" s="25" t="s">
        <v>21</v>
      </c>
      <c r="F4" s="24" t="s">
        <v>22</v>
      </c>
      <c r="G4" s="25" t="s">
        <v>23</v>
      </c>
      <c r="H4" s="25" t="s">
        <v>24</v>
      </c>
      <c r="I4" s="24" t="s">
        <v>25</v>
      </c>
      <c r="J4" s="24" t="s">
        <v>26</v>
      </c>
      <c r="K4" s="24" t="s">
        <v>27</v>
      </c>
    </row>
    <row r="5" spans="1:11" x14ac:dyDescent="0.3">
      <c r="B5" s="9">
        <v>1</v>
      </c>
      <c r="C5" s="10"/>
      <c r="D5" s="49"/>
      <c r="E5" s="21"/>
      <c r="F5" s="22"/>
      <c r="G5" s="9"/>
      <c r="H5" s="9"/>
      <c r="I5" s="10"/>
      <c r="J5" s="11"/>
      <c r="K5" s="11"/>
    </row>
    <row r="6" spans="1:11" x14ac:dyDescent="0.3">
      <c r="B6" s="9">
        <f>MAX(B$5:B5)+1</f>
        <v>2</v>
      </c>
      <c r="C6" s="10"/>
      <c r="D6" s="49"/>
      <c r="E6" s="21"/>
      <c r="F6" s="22"/>
      <c r="G6" s="9"/>
      <c r="H6" s="9"/>
      <c r="I6" s="10"/>
      <c r="J6" s="11"/>
      <c r="K6" s="11"/>
    </row>
    <row r="7" spans="1:11" x14ac:dyDescent="0.3">
      <c r="B7" s="9">
        <f>MAX(B$5:B6)+1</f>
        <v>3</v>
      </c>
      <c r="C7" s="10"/>
      <c r="D7" s="49"/>
      <c r="E7" s="21"/>
      <c r="F7" s="22"/>
      <c r="G7" s="9"/>
      <c r="H7" s="9"/>
      <c r="I7" s="10"/>
      <c r="J7" s="11"/>
      <c r="K7" s="11"/>
    </row>
    <row r="8" spans="1:11" x14ac:dyDescent="0.3">
      <c r="B8" s="9">
        <f>MAX(B$5:B7)+1</f>
        <v>4</v>
      </c>
      <c r="C8" s="10"/>
      <c r="D8" s="49"/>
      <c r="E8" s="21"/>
      <c r="F8" s="22"/>
      <c r="G8" s="9"/>
      <c r="H8" s="9"/>
      <c r="I8" s="10"/>
      <c r="J8" s="11"/>
      <c r="K8" s="11"/>
    </row>
    <row r="9" spans="1:11" x14ac:dyDescent="0.3">
      <c r="B9" s="9">
        <f>MAX(B$5:B8)+1</f>
        <v>5</v>
      </c>
      <c r="C9" s="10"/>
      <c r="D9" s="49"/>
      <c r="E9" s="21"/>
      <c r="F9" s="22"/>
      <c r="G9" s="9"/>
      <c r="H9" s="9"/>
      <c r="I9" s="10"/>
      <c r="J9" s="11"/>
      <c r="K9" s="11"/>
    </row>
    <row r="10" spans="1:11" x14ac:dyDescent="0.3">
      <c r="B10" s="9">
        <f>MAX(B$5:B9)+1</f>
        <v>6</v>
      </c>
      <c r="C10" s="10"/>
      <c r="D10" s="49"/>
      <c r="E10" s="21"/>
      <c r="F10" s="22"/>
      <c r="G10" s="9"/>
      <c r="H10" s="9"/>
      <c r="I10" s="10"/>
      <c r="J10" s="11"/>
      <c r="K10" s="11"/>
    </row>
    <row r="11" spans="1:11" x14ac:dyDescent="0.3">
      <c r="B11" s="9">
        <f>MAX(B$5:B10)+1</f>
        <v>7</v>
      </c>
      <c r="C11" s="10"/>
      <c r="D11" s="49"/>
      <c r="E11" s="21"/>
      <c r="F11" s="22"/>
      <c r="G11" s="9"/>
      <c r="H11" s="9"/>
      <c r="I11" s="10"/>
      <c r="J11" s="11"/>
      <c r="K11" s="11"/>
    </row>
    <row r="12" spans="1:11" x14ac:dyDescent="0.3">
      <c r="B12" s="9">
        <f>MAX(B$5:B11)+1</f>
        <v>8</v>
      </c>
      <c r="C12" s="10"/>
      <c r="D12" s="49"/>
      <c r="E12" s="21"/>
      <c r="F12" s="22"/>
      <c r="G12" s="9"/>
      <c r="H12" s="9"/>
      <c r="I12" s="10"/>
      <c r="J12" s="11"/>
      <c r="K12" s="11"/>
    </row>
    <row r="13" spans="1:11" x14ac:dyDescent="0.3">
      <c r="B13" s="9">
        <f>MAX(B$5:B12)+1</f>
        <v>9</v>
      </c>
      <c r="C13" s="10"/>
      <c r="D13" s="49"/>
      <c r="E13" s="21"/>
      <c r="F13" s="22"/>
      <c r="G13" s="9"/>
      <c r="H13" s="9"/>
      <c r="I13" s="10"/>
      <c r="J13" s="11"/>
      <c r="K13" s="11"/>
    </row>
    <row r="14" spans="1:11" x14ac:dyDescent="0.3">
      <c r="B14" s="9">
        <f>MAX(B$5:B13)+1</f>
        <v>10</v>
      </c>
      <c r="C14" s="10"/>
      <c r="D14" s="49"/>
      <c r="E14" s="21"/>
      <c r="F14" s="22"/>
      <c r="G14" s="9"/>
      <c r="H14" s="9"/>
      <c r="I14" s="10"/>
      <c r="J14" s="11"/>
      <c r="K14" s="11"/>
    </row>
    <row r="15" spans="1:11" x14ac:dyDescent="0.3">
      <c r="B15" s="9">
        <f>MAX(B$5:B14)+1</f>
        <v>11</v>
      </c>
      <c r="C15" s="10"/>
      <c r="D15" s="49"/>
      <c r="E15" s="21"/>
      <c r="F15" s="22"/>
      <c r="G15" s="9"/>
      <c r="H15" s="9"/>
      <c r="I15" s="10"/>
      <c r="J15" s="11"/>
      <c r="K15" s="11"/>
    </row>
    <row r="16" spans="1:11" x14ac:dyDescent="0.3">
      <c r="B16" s="9">
        <f>MAX(B$5:B15)+1</f>
        <v>12</v>
      </c>
      <c r="C16" s="10"/>
      <c r="D16" s="49"/>
      <c r="E16" s="21"/>
      <c r="F16" s="22"/>
      <c r="G16" s="9"/>
      <c r="H16" s="9"/>
      <c r="I16" s="10"/>
      <c r="J16" s="11"/>
      <c r="K16" s="11"/>
    </row>
    <row r="17" spans="2:11" x14ac:dyDescent="0.3">
      <c r="B17" s="9">
        <f>MAX(B$5:B16)+1</f>
        <v>13</v>
      </c>
      <c r="C17" s="10"/>
      <c r="D17" s="49"/>
      <c r="E17" s="21"/>
      <c r="F17" s="22"/>
      <c r="G17" s="9"/>
      <c r="H17" s="9"/>
      <c r="I17" s="10"/>
      <c r="J17" s="11"/>
      <c r="K17" s="11"/>
    </row>
    <row r="18" spans="2:11" x14ac:dyDescent="0.3">
      <c r="B18" s="9">
        <f>MAX(B$5:B17)+1</f>
        <v>14</v>
      </c>
      <c r="C18" s="10"/>
      <c r="D18" s="49"/>
      <c r="E18" s="21"/>
      <c r="F18" s="22"/>
      <c r="G18" s="9"/>
      <c r="H18" s="9"/>
      <c r="I18" s="10"/>
      <c r="J18" s="11"/>
      <c r="K18" s="11"/>
    </row>
    <row r="19" spans="2:11" x14ac:dyDescent="0.3">
      <c r="B19" s="9">
        <f>MAX(B$5:B18)+1</f>
        <v>15</v>
      </c>
      <c r="C19" s="10"/>
      <c r="D19" s="49"/>
      <c r="E19" s="21"/>
      <c r="F19" s="22"/>
      <c r="G19" s="9"/>
      <c r="H19" s="9"/>
      <c r="I19" s="10"/>
      <c r="J19" s="11"/>
      <c r="K19" s="11"/>
    </row>
    <row r="20" spans="2:11" x14ac:dyDescent="0.3">
      <c r="B20" s="9">
        <f>MAX(B$5:B19)+1</f>
        <v>16</v>
      </c>
      <c r="C20" s="10"/>
      <c r="D20" s="49"/>
      <c r="E20" s="21"/>
      <c r="F20" s="22"/>
      <c r="G20" s="9"/>
      <c r="H20" s="9"/>
      <c r="I20" s="10"/>
      <c r="J20" s="11"/>
      <c r="K20" s="11"/>
    </row>
    <row r="21" spans="2:11" x14ac:dyDescent="0.3">
      <c r="B21" s="9">
        <f>MAX(B$5:B20)+1</f>
        <v>17</v>
      </c>
      <c r="C21" s="10"/>
      <c r="D21" s="49"/>
      <c r="E21" s="21"/>
      <c r="F21" s="22"/>
      <c r="G21" s="9"/>
      <c r="H21" s="9"/>
      <c r="I21" s="10"/>
      <c r="J21" s="11"/>
      <c r="K21" s="11"/>
    </row>
    <row r="22" spans="2:11" x14ac:dyDescent="0.3">
      <c r="B22" s="9">
        <f>MAX(B$5:B21)+1</f>
        <v>18</v>
      </c>
      <c r="C22" s="10"/>
      <c r="D22" s="49"/>
      <c r="E22" s="21"/>
      <c r="F22" s="22"/>
      <c r="G22" s="9"/>
      <c r="H22" s="9"/>
      <c r="I22" s="10"/>
      <c r="J22" s="11"/>
      <c r="K22" s="11"/>
    </row>
    <row r="23" spans="2:11" x14ac:dyDescent="0.3">
      <c r="B23" s="9">
        <f>MAX(B$5:B22)+1</f>
        <v>19</v>
      </c>
      <c r="C23" s="10"/>
      <c r="D23" s="49"/>
      <c r="E23" s="21"/>
      <c r="F23" s="22"/>
      <c r="G23" s="9"/>
      <c r="H23" s="9"/>
      <c r="I23" s="10"/>
      <c r="J23" s="11"/>
      <c r="K23" s="11"/>
    </row>
    <row r="24" spans="2:11" x14ac:dyDescent="0.3">
      <c r="B24" s="9">
        <f>MAX(B$5:B23)+1</f>
        <v>20</v>
      </c>
      <c r="C24" s="10"/>
      <c r="D24" s="49"/>
      <c r="E24" s="21"/>
      <c r="F24" s="22"/>
      <c r="G24" s="9"/>
      <c r="H24" s="9"/>
      <c r="I24" s="10"/>
      <c r="J24" s="11"/>
      <c r="K24" s="11"/>
    </row>
    <row r="25" spans="2:11" x14ac:dyDescent="0.3">
      <c r="B25" s="9">
        <f>MAX(B$5:B24)+1</f>
        <v>21</v>
      </c>
      <c r="C25" s="10"/>
      <c r="D25" s="49"/>
      <c r="E25" s="21"/>
      <c r="F25" s="22"/>
      <c r="G25" s="9"/>
      <c r="H25" s="9"/>
      <c r="I25" s="10"/>
      <c r="J25" s="11"/>
      <c r="K25" s="11"/>
    </row>
    <row r="26" spans="2:11" x14ac:dyDescent="0.3">
      <c r="B26" s="9">
        <f>MAX(B$5:B25)+1</f>
        <v>22</v>
      </c>
      <c r="C26" s="10"/>
      <c r="D26" s="49"/>
      <c r="E26" s="21"/>
      <c r="F26" s="22"/>
      <c r="G26" s="9"/>
      <c r="H26" s="9"/>
      <c r="I26" s="10"/>
      <c r="J26" s="11"/>
      <c r="K26" s="11"/>
    </row>
    <row r="27" spans="2:11" x14ac:dyDescent="0.3">
      <c r="B27" s="9">
        <f>MAX(B$5:B26)+1</f>
        <v>23</v>
      </c>
      <c r="C27" s="10"/>
      <c r="D27" s="49"/>
      <c r="E27" s="21"/>
      <c r="F27" s="22"/>
      <c r="G27" s="9"/>
      <c r="H27" s="9"/>
      <c r="I27" s="10"/>
      <c r="J27" s="11"/>
      <c r="K27" s="11"/>
    </row>
    <row r="28" spans="2:11" x14ac:dyDescent="0.3">
      <c r="B28" s="9">
        <f>MAX(B$5:B27)+1</f>
        <v>24</v>
      </c>
      <c r="C28" s="10"/>
      <c r="D28" s="49"/>
      <c r="E28" s="21"/>
      <c r="F28" s="22"/>
      <c r="G28" s="9"/>
      <c r="H28" s="9"/>
      <c r="I28" s="10"/>
      <c r="J28" s="11"/>
      <c r="K28" s="11"/>
    </row>
    <row r="29" spans="2:11" x14ac:dyDescent="0.3">
      <c r="B29" s="9">
        <f>MAX(B$5:B28)+1</f>
        <v>25</v>
      </c>
      <c r="C29" s="10"/>
      <c r="D29" s="49"/>
      <c r="E29" s="21"/>
      <c r="F29" s="22"/>
      <c r="G29" s="9"/>
      <c r="H29" s="9"/>
      <c r="I29" s="10"/>
      <c r="J29" s="11"/>
      <c r="K29" s="11"/>
    </row>
    <row r="30" spans="2:11" x14ac:dyDescent="0.3">
      <c r="B30" s="9">
        <f>MAX(B$5:B29)+1</f>
        <v>26</v>
      </c>
      <c r="C30" s="10"/>
      <c r="D30" s="49"/>
      <c r="E30" s="21"/>
      <c r="F30" s="22"/>
      <c r="G30" s="9"/>
      <c r="H30" s="9"/>
      <c r="I30" s="10"/>
      <c r="J30" s="11"/>
      <c r="K30" s="11"/>
    </row>
    <row r="31" spans="2:11" x14ac:dyDescent="0.3">
      <c r="B31" s="9">
        <f>MAX(B$5:B30)+1</f>
        <v>27</v>
      </c>
      <c r="C31" s="10"/>
      <c r="D31" s="49"/>
      <c r="E31" s="21"/>
      <c r="F31" s="22"/>
      <c r="G31" s="9"/>
      <c r="H31" s="9"/>
      <c r="I31" s="10"/>
      <c r="J31" s="11"/>
      <c r="K31" s="11"/>
    </row>
    <row r="32" spans="2:11" x14ac:dyDescent="0.3">
      <c r="B32" s="9">
        <f>MAX(B$5:B31)+1</f>
        <v>28</v>
      </c>
      <c r="C32" s="10"/>
      <c r="D32" s="49"/>
      <c r="E32" s="21"/>
      <c r="F32" s="22"/>
      <c r="G32" s="9"/>
      <c r="H32" s="9"/>
      <c r="I32" s="10"/>
      <c r="J32" s="11"/>
      <c r="K32" s="11"/>
    </row>
    <row r="33" spans="2:11" x14ac:dyDescent="0.3">
      <c r="B33" s="9">
        <f>MAX(B$5:B32)+1</f>
        <v>29</v>
      </c>
      <c r="C33" s="10"/>
      <c r="D33" s="49"/>
      <c r="E33" s="21"/>
      <c r="F33" s="22"/>
      <c r="G33" s="9"/>
      <c r="H33" s="9"/>
      <c r="I33" s="10"/>
      <c r="J33" s="11"/>
      <c r="K33" s="11"/>
    </row>
    <row r="34" spans="2:11" x14ac:dyDescent="0.3">
      <c r="B34" s="9">
        <f>MAX(B$5:B33)+1</f>
        <v>30</v>
      </c>
      <c r="C34" s="10"/>
      <c r="D34" s="49"/>
      <c r="E34" s="21"/>
      <c r="F34" s="22"/>
      <c r="G34" s="9"/>
      <c r="H34" s="9"/>
      <c r="I34" s="10"/>
      <c r="J34" s="11"/>
      <c r="K34" s="11"/>
    </row>
    <row r="35" spans="2:11" x14ac:dyDescent="0.3">
      <c r="B35" s="9">
        <f>MAX(B$5:B34)+1</f>
        <v>31</v>
      </c>
      <c r="C35" s="10"/>
      <c r="D35" s="49"/>
      <c r="E35" s="21"/>
      <c r="F35" s="22"/>
      <c r="G35" s="9"/>
      <c r="H35" s="9"/>
      <c r="I35" s="10"/>
      <c r="J35" s="11"/>
      <c r="K35" s="11"/>
    </row>
    <row r="36" spans="2:11" x14ac:dyDescent="0.3">
      <c r="B36" s="9">
        <f>MAX(B$5:B35)+1</f>
        <v>32</v>
      </c>
      <c r="C36" s="10"/>
      <c r="D36" s="49"/>
      <c r="E36" s="21"/>
      <c r="F36" s="22"/>
      <c r="G36" s="9"/>
      <c r="H36" s="9"/>
      <c r="I36" s="10"/>
      <c r="J36" s="11"/>
      <c r="K36" s="11"/>
    </row>
    <row r="37" spans="2:11" x14ac:dyDescent="0.3">
      <c r="B37" s="9">
        <f>MAX(B$5:B36)+1</f>
        <v>33</v>
      </c>
      <c r="C37" s="10"/>
      <c r="D37" s="49"/>
      <c r="E37" s="21"/>
      <c r="F37" s="22"/>
      <c r="G37" s="9"/>
      <c r="H37" s="9"/>
      <c r="I37" s="10"/>
      <c r="J37" s="11"/>
      <c r="K37" s="11"/>
    </row>
    <row r="38" spans="2:11" x14ac:dyDescent="0.3">
      <c r="B38" s="9">
        <f>MAX(B$5:B37)+1</f>
        <v>34</v>
      </c>
      <c r="C38" s="10"/>
      <c r="D38" s="49"/>
      <c r="E38" s="21"/>
      <c r="F38" s="22"/>
      <c r="G38" s="9"/>
      <c r="H38" s="9"/>
      <c r="I38" s="10"/>
      <c r="J38" s="11"/>
      <c r="K38" s="11"/>
    </row>
    <row r="39" spans="2:11" x14ac:dyDescent="0.3">
      <c r="B39" s="9">
        <f>MAX(B$5:B38)+1</f>
        <v>35</v>
      </c>
      <c r="C39" s="10"/>
      <c r="D39" s="49"/>
      <c r="E39" s="21"/>
      <c r="F39" s="22"/>
      <c r="G39" s="9"/>
      <c r="H39" s="9"/>
      <c r="I39" s="10"/>
      <c r="J39" s="11"/>
      <c r="K39" s="11"/>
    </row>
    <row r="40" spans="2:11" x14ac:dyDescent="0.3">
      <c r="B40" s="9">
        <f>MAX(B$5:B39)+1</f>
        <v>36</v>
      </c>
      <c r="C40" s="10"/>
      <c r="D40" s="49"/>
      <c r="E40" s="21"/>
      <c r="F40" s="22"/>
      <c r="G40" s="9"/>
      <c r="H40" s="9"/>
      <c r="I40" s="10"/>
      <c r="J40" s="11"/>
      <c r="K40" s="11"/>
    </row>
    <row r="41" spans="2:11" x14ac:dyDescent="0.3">
      <c r="B41" s="9">
        <f>MAX(B$5:B40)+1</f>
        <v>37</v>
      </c>
      <c r="C41" s="10"/>
      <c r="D41" s="49"/>
      <c r="E41" s="21"/>
      <c r="F41" s="22"/>
      <c r="G41" s="9"/>
      <c r="H41" s="9"/>
      <c r="I41" s="10"/>
      <c r="J41" s="11"/>
      <c r="K41" s="11"/>
    </row>
    <row r="42" spans="2:11" x14ac:dyDescent="0.3">
      <c r="B42" s="9">
        <f>MAX(B$5:B41)+1</f>
        <v>38</v>
      </c>
      <c r="C42" s="10"/>
      <c r="D42" s="49"/>
      <c r="E42" s="21"/>
      <c r="F42" s="22"/>
      <c r="G42" s="9"/>
      <c r="H42" s="9"/>
      <c r="I42" s="10"/>
      <c r="J42" s="11"/>
      <c r="K42" s="11"/>
    </row>
    <row r="43" spans="2:11" x14ac:dyDescent="0.3">
      <c r="B43" s="9">
        <f>MAX(B$5:B42)+1</f>
        <v>39</v>
      </c>
      <c r="C43" s="10"/>
      <c r="D43" s="49"/>
      <c r="E43" s="21"/>
      <c r="F43" s="22"/>
      <c r="G43" s="9"/>
      <c r="H43" s="9"/>
      <c r="I43" s="10"/>
      <c r="J43" s="11"/>
      <c r="K43" s="11"/>
    </row>
    <row r="44" spans="2:11" x14ac:dyDescent="0.3">
      <c r="B44" s="9">
        <f>MAX(B$5:B43)+1</f>
        <v>40</v>
      </c>
      <c r="C44" s="10"/>
      <c r="D44" s="49"/>
      <c r="E44" s="21"/>
      <c r="F44" s="22"/>
      <c r="G44" s="9"/>
      <c r="H44" s="9"/>
      <c r="I44" s="10"/>
      <c r="J44" s="11"/>
      <c r="K44" s="11"/>
    </row>
    <row r="45" spans="2:11" x14ac:dyDescent="0.3">
      <c r="B45" s="9">
        <f>MAX(B$5:B44)+1</f>
        <v>41</v>
      </c>
      <c r="C45" s="10"/>
      <c r="D45" s="49"/>
      <c r="E45" s="21"/>
      <c r="F45" s="22"/>
      <c r="G45" s="9"/>
      <c r="H45" s="9"/>
      <c r="I45" s="10"/>
      <c r="J45" s="11"/>
      <c r="K45" s="11"/>
    </row>
    <row r="46" spans="2:11" x14ac:dyDescent="0.3">
      <c r="B46" s="9">
        <f>MAX(B$5:B45)+1</f>
        <v>42</v>
      </c>
      <c r="C46" s="10"/>
      <c r="D46" s="49"/>
      <c r="E46" s="21"/>
      <c r="F46" s="22"/>
      <c r="G46" s="9"/>
      <c r="H46" s="9"/>
      <c r="I46" s="10"/>
      <c r="J46" s="11"/>
      <c r="K46" s="11"/>
    </row>
    <row r="47" spans="2:11" x14ac:dyDescent="0.3">
      <c r="B47" s="9">
        <f>MAX(B$5:B46)+1</f>
        <v>43</v>
      </c>
      <c r="C47" s="10"/>
      <c r="D47" s="49"/>
      <c r="E47" s="21"/>
      <c r="F47" s="22"/>
      <c r="G47" s="9"/>
      <c r="H47" s="9"/>
      <c r="I47" s="10"/>
      <c r="J47" s="11"/>
      <c r="K47" s="11"/>
    </row>
    <row r="48" spans="2:11" x14ac:dyDescent="0.3">
      <c r="B48" s="9">
        <f>MAX(B$5:B47)+1</f>
        <v>44</v>
      </c>
      <c r="C48" s="10"/>
      <c r="D48" s="49"/>
      <c r="E48" s="21"/>
      <c r="F48" s="22"/>
      <c r="G48" s="9"/>
      <c r="H48" s="9"/>
      <c r="I48" s="10"/>
      <c r="J48" s="11"/>
      <c r="K48" s="11"/>
    </row>
    <row r="49" spans="2:11" x14ac:dyDescent="0.3">
      <c r="B49" s="9">
        <f>MAX(B$5:B48)+1</f>
        <v>45</v>
      </c>
      <c r="C49" s="10"/>
      <c r="D49" s="49"/>
      <c r="E49" s="21"/>
      <c r="F49" s="22"/>
      <c r="G49" s="9"/>
      <c r="H49" s="9"/>
      <c r="I49" s="10"/>
      <c r="J49" s="11"/>
      <c r="K49" s="11"/>
    </row>
    <row r="50" spans="2:11" x14ac:dyDescent="0.3">
      <c r="B50" s="9">
        <f>MAX(B$5:B49)+1</f>
        <v>46</v>
      </c>
      <c r="C50" s="10"/>
      <c r="D50" s="49"/>
      <c r="E50" s="21"/>
      <c r="F50" s="22"/>
      <c r="G50" s="9"/>
      <c r="H50" s="9"/>
      <c r="I50" s="10"/>
      <c r="J50" s="11"/>
      <c r="K50" s="11"/>
    </row>
    <row r="51" spans="2:11" x14ac:dyDescent="0.3">
      <c r="B51" s="9">
        <f>MAX(B$5:B50)+1</f>
        <v>47</v>
      </c>
      <c r="C51" s="10"/>
      <c r="D51" s="49"/>
      <c r="E51" s="21"/>
      <c r="F51" s="22"/>
      <c r="G51" s="9"/>
      <c r="H51" s="9"/>
      <c r="I51" s="10"/>
      <c r="J51" s="11"/>
      <c r="K51" s="11"/>
    </row>
    <row r="52" spans="2:11" x14ac:dyDescent="0.3">
      <c r="B52" s="9">
        <f>MAX(B$5:B51)+1</f>
        <v>48</v>
      </c>
      <c r="C52" s="10"/>
      <c r="D52" s="49"/>
      <c r="E52" s="21"/>
      <c r="F52" s="22"/>
      <c r="G52" s="9"/>
      <c r="H52" s="9"/>
      <c r="I52" s="10"/>
      <c r="J52" s="11"/>
      <c r="K52" s="11"/>
    </row>
    <row r="53" spans="2:11" x14ac:dyDescent="0.3">
      <c r="B53" s="9">
        <f>MAX(B$5:B52)+1</f>
        <v>49</v>
      </c>
      <c r="C53" s="10"/>
      <c r="D53" s="49"/>
      <c r="E53" s="21"/>
      <c r="F53" s="22"/>
      <c r="G53" s="9"/>
      <c r="H53" s="9"/>
      <c r="I53" s="10"/>
      <c r="J53" s="11"/>
      <c r="K53" s="11"/>
    </row>
    <row r="54" spans="2:11" x14ac:dyDescent="0.3">
      <c r="B54" s="9">
        <f>MAX(B$5:B53)+1</f>
        <v>50</v>
      </c>
      <c r="C54" s="10"/>
      <c r="D54" s="49"/>
      <c r="E54" s="21"/>
      <c r="F54" s="22"/>
      <c r="G54" s="9"/>
      <c r="H54" s="9"/>
      <c r="I54" s="10"/>
      <c r="J54" s="11"/>
      <c r="K54" s="11"/>
    </row>
    <row r="55" spans="2:11" x14ac:dyDescent="0.3">
      <c r="B55" s="9">
        <f>MAX(B$5:B54)+1</f>
        <v>51</v>
      </c>
      <c r="C55" s="10"/>
      <c r="D55" s="49"/>
      <c r="E55" s="21"/>
      <c r="F55" s="22"/>
      <c r="G55" s="9"/>
      <c r="H55" s="9"/>
      <c r="I55" s="10"/>
      <c r="J55" s="11"/>
      <c r="K55" s="11"/>
    </row>
    <row r="56" spans="2:11" x14ac:dyDescent="0.3">
      <c r="B56" s="9">
        <f>MAX(B$5:B55)+1</f>
        <v>52</v>
      </c>
      <c r="C56" s="10"/>
      <c r="D56" s="49"/>
      <c r="E56" s="21"/>
      <c r="F56" s="22"/>
      <c r="G56" s="9"/>
      <c r="H56" s="9"/>
      <c r="I56" s="10"/>
      <c r="J56" s="11"/>
      <c r="K56" s="11"/>
    </row>
    <row r="57" spans="2:11" x14ac:dyDescent="0.3">
      <c r="B57" s="9">
        <f>MAX(B$5:B56)+1</f>
        <v>53</v>
      </c>
      <c r="C57" s="10"/>
      <c r="D57" s="49"/>
      <c r="E57" s="21"/>
      <c r="F57" s="22"/>
      <c r="G57" s="9"/>
      <c r="H57" s="9"/>
      <c r="I57" s="10"/>
      <c r="J57" s="11"/>
      <c r="K57" s="11"/>
    </row>
    <row r="58" spans="2:11" x14ac:dyDescent="0.3">
      <c r="B58" s="9">
        <f>MAX(B$5:B57)+1</f>
        <v>54</v>
      </c>
      <c r="C58" s="10"/>
      <c r="D58" s="49"/>
      <c r="E58" s="21"/>
      <c r="F58" s="22"/>
      <c r="G58" s="9"/>
      <c r="H58" s="9"/>
      <c r="I58" s="10"/>
      <c r="J58" s="11"/>
      <c r="K58" s="11"/>
    </row>
    <row r="59" spans="2:11" x14ac:dyDescent="0.3">
      <c r="B59" s="9">
        <f>MAX(B$5:B58)+1</f>
        <v>55</v>
      </c>
      <c r="C59" s="10"/>
      <c r="D59" s="49"/>
      <c r="E59" s="21"/>
      <c r="F59" s="22"/>
      <c r="G59" s="9"/>
      <c r="H59" s="9"/>
      <c r="I59" s="10"/>
      <c r="J59" s="11"/>
      <c r="K59" s="11"/>
    </row>
    <row r="60" spans="2:11" x14ac:dyDescent="0.3">
      <c r="B60" s="9">
        <f>MAX(B$5:B59)+1</f>
        <v>56</v>
      </c>
      <c r="C60" s="10"/>
      <c r="D60" s="49"/>
      <c r="E60" s="21"/>
      <c r="F60" s="22"/>
      <c r="G60" s="9"/>
      <c r="H60" s="9"/>
      <c r="I60" s="10"/>
      <c r="J60" s="11"/>
      <c r="K60" s="11"/>
    </row>
    <row r="61" spans="2:11" x14ac:dyDescent="0.3">
      <c r="B61" s="9">
        <f>MAX(B$5:B60)+1</f>
        <v>57</v>
      </c>
      <c r="C61" s="10"/>
      <c r="D61" s="49"/>
      <c r="E61" s="21"/>
      <c r="F61" s="22"/>
      <c r="G61" s="9"/>
      <c r="H61" s="9"/>
      <c r="I61" s="10"/>
      <c r="J61" s="11"/>
      <c r="K61" s="11"/>
    </row>
    <row r="62" spans="2:11" x14ac:dyDescent="0.3">
      <c r="B62" s="9">
        <f>MAX(B$5:B61)+1</f>
        <v>58</v>
      </c>
      <c r="C62" s="10"/>
      <c r="D62" s="49"/>
      <c r="E62" s="21"/>
      <c r="F62" s="22"/>
      <c r="G62" s="9"/>
      <c r="H62" s="9"/>
      <c r="I62" s="10"/>
      <c r="J62" s="11"/>
      <c r="K62" s="11"/>
    </row>
    <row r="63" spans="2:11" x14ac:dyDescent="0.3">
      <c r="B63" s="9">
        <f>MAX(B$5:B62)+1</f>
        <v>59</v>
      </c>
      <c r="C63" s="10"/>
      <c r="D63" s="49"/>
      <c r="E63" s="21"/>
      <c r="F63" s="22"/>
      <c r="G63" s="9"/>
      <c r="H63" s="9"/>
      <c r="I63" s="10"/>
      <c r="J63" s="11"/>
      <c r="K63" s="11"/>
    </row>
    <row r="64" spans="2:11" x14ac:dyDescent="0.3">
      <c r="B64" s="9">
        <f>MAX(B$5:B63)+1</f>
        <v>60</v>
      </c>
      <c r="C64" s="10"/>
      <c r="D64" s="49"/>
      <c r="E64" s="21"/>
      <c r="F64" s="22"/>
      <c r="G64" s="9"/>
      <c r="H64" s="9"/>
      <c r="I64" s="10"/>
      <c r="J64" s="11"/>
      <c r="K64" s="11"/>
    </row>
    <row r="65" spans="2:11" x14ac:dyDescent="0.3">
      <c r="B65" s="9">
        <f>MAX(B$5:B64)+1</f>
        <v>61</v>
      </c>
      <c r="C65" s="10"/>
      <c r="D65" s="49"/>
      <c r="E65" s="21"/>
      <c r="F65" s="22"/>
      <c r="G65" s="9"/>
      <c r="H65" s="9"/>
      <c r="I65" s="10"/>
      <c r="J65" s="11"/>
      <c r="K65" s="11"/>
    </row>
    <row r="66" spans="2:11" x14ac:dyDescent="0.3">
      <c r="B66" s="9">
        <f>MAX(B$5:B65)+1</f>
        <v>62</v>
      </c>
      <c r="C66" s="10"/>
      <c r="D66" s="49"/>
      <c r="E66" s="21"/>
      <c r="F66" s="22"/>
      <c r="G66" s="9"/>
      <c r="H66" s="9"/>
      <c r="I66" s="10"/>
      <c r="J66" s="11"/>
      <c r="K66" s="11"/>
    </row>
    <row r="67" spans="2:11" x14ac:dyDescent="0.3">
      <c r="B67" s="9">
        <f>MAX(B$5:B66)+1</f>
        <v>63</v>
      </c>
      <c r="C67" s="10"/>
      <c r="D67" s="49"/>
      <c r="E67" s="21"/>
      <c r="F67" s="22"/>
      <c r="G67" s="9"/>
      <c r="H67" s="9"/>
      <c r="I67" s="10"/>
      <c r="J67" s="11"/>
      <c r="K67" s="11"/>
    </row>
    <row r="68" spans="2:11" x14ac:dyDescent="0.3">
      <c r="B68" s="9">
        <f>MAX(B$5:B67)+1</f>
        <v>64</v>
      </c>
      <c r="C68" s="10"/>
      <c r="D68" s="49"/>
      <c r="E68" s="21"/>
      <c r="F68" s="22"/>
      <c r="G68" s="9"/>
      <c r="H68" s="9"/>
      <c r="I68" s="10"/>
      <c r="J68" s="11"/>
      <c r="K68" s="11"/>
    </row>
    <row r="69" spans="2:11" x14ac:dyDescent="0.3">
      <c r="B69" s="9">
        <f>MAX(B$5:B68)+1</f>
        <v>65</v>
      </c>
      <c r="C69" s="10"/>
      <c r="D69" s="49"/>
      <c r="E69" s="21"/>
      <c r="F69" s="22"/>
      <c r="G69" s="9"/>
      <c r="H69" s="9"/>
      <c r="I69" s="10"/>
      <c r="J69" s="11"/>
      <c r="K69" s="11"/>
    </row>
    <row r="70" spans="2:11" x14ac:dyDescent="0.3">
      <c r="B70" s="9">
        <f>MAX(B$5:B69)+1</f>
        <v>66</v>
      </c>
      <c r="C70" s="10"/>
      <c r="D70" s="49"/>
      <c r="E70" s="21"/>
      <c r="F70" s="22"/>
      <c r="G70" s="9"/>
      <c r="H70" s="9"/>
      <c r="I70" s="10"/>
      <c r="J70" s="11"/>
      <c r="K70" s="11"/>
    </row>
    <row r="71" spans="2:11" x14ac:dyDescent="0.3">
      <c r="B71" s="9">
        <f>MAX(B$5:B70)+1</f>
        <v>67</v>
      </c>
      <c r="C71" s="10"/>
      <c r="D71" s="49"/>
      <c r="E71" s="21"/>
      <c r="F71" s="22"/>
      <c r="G71" s="9"/>
      <c r="H71" s="9"/>
      <c r="I71" s="10"/>
      <c r="J71" s="11"/>
      <c r="K71" s="11"/>
    </row>
    <row r="72" spans="2:11" x14ac:dyDescent="0.3">
      <c r="B72" s="9">
        <f>MAX(B$5:B71)+1</f>
        <v>68</v>
      </c>
      <c r="C72" s="10"/>
      <c r="D72" s="49"/>
      <c r="E72" s="21"/>
      <c r="F72" s="22"/>
      <c r="G72" s="9"/>
      <c r="H72" s="9"/>
      <c r="I72" s="10"/>
      <c r="J72" s="11"/>
      <c r="K72" s="11"/>
    </row>
    <row r="73" spans="2:11" x14ac:dyDescent="0.3">
      <c r="B73" s="9">
        <f>MAX(B$5:B72)+1</f>
        <v>69</v>
      </c>
      <c r="C73" s="10"/>
      <c r="D73" s="49"/>
      <c r="E73" s="21"/>
      <c r="F73" s="22"/>
      <c r="G73" s="9"/>
      <c r="H73" s="9"/>
      <c r="I73" s="10"/>
      <c r="J73" s="11"/>
      <c r="K73" s="11"/>
    </row>
    <row r="74" spans="2:11" x14ac:dyDescent="0.3">
      <c r="B74" s="9">
        <f>MAX(B$5:B73)+1</f>
        <v>70</v>
      </c>
      <c r="C74" s="10"/>
      <c r="D74" s="49"/>
      <c r="E74" s="21"/>
      <c r="F74" s="22"/>
      <c r="G74" s="9"/>
      <c r="H74" s="9"/>
      <c r="I74" s="10"/>
      <c r="J74" s="11"/>
      <c r="K74" s="11"/>
    </row>
    <row r="75" spans="2:11" x14ac:dyDescent="0.3">
      <c r="B75" s="9">
        <f>MAX(B$5:B74)+1</f>
        <v>71</v>
      </c>
      <c r="C75" s="10"/>
      <c r="D75" s="49"/>
      <c r="E75" s="21"/>
      <c r="F75" s="22"/>
      <c r="G75" s="9"/>
      <c r="H75" s="9"/>
      <c r="I75" s="10"/>
      <c r="J75" s="11"/>
      <c r="K75" s="11"/>
    </row>
    <row r="76" spans="2:11" x14ac:dyDescent="0.3">
      <c r="B76" s="9">
        <f>MAX(B$5:B75)+1</f>
        <v>72</v>
      </c>
      <c r="C76" s="10"/>
      <c r="D76" s="49"/>
      <c r="E76" s="21"/>
      <c r="F76" s="22"/>
      <c r="G76" s="9"/>
      <c r="H76" s="9"/>
      <c r="I76" s="10"/>
      <c r="J76" s="11"/>
      <c r="K76" s="11"/>
    </row>
    <row r="77" spans="2:11" x14ac:dyDescent="0.3">
      <c r="B77" s="9">
        <f>MAX(B$5:B76)+1</f>
        <v>73</v>
      </c>
      <c r="C77" s="10"/>
      <c r="D77" s="49"/>
      <c r="E77" s="21"/>
      <c r="F77" s="22"/>
      <c r="G77" s="9"/>
      <c r="H77" s="9"/>
      <c r="I77" s="10"/>
      <c r="J77" s="11"/>
      <c r="K77" s="11"/>
    </row>
    <row r="78" spans="2:11" x14ac:dyDescent="0.3">
      <c r="B78" s="9">
        <f>MAX(B$5:B77)+1</f>
        <v>74</v>
      </c>
      <c r="C78" s="10"/>
      <c r="D78" s="49"/>
      <c r="E78" s="21"/>
      <c r="F78" s="22"/>
      <c r="G78" s="9"/>
      <c r="H78" s="9"/>
      <c r="I78" s="10"/>
      <c r="J78" s="11"/>
      <c r="K78" s="11"/>
    </row>
    <row r="79" spans="2:11" x14ac:dyDescent="0.3">
      <c r="B79" s="9">
        <f>MAX(B$5:B78)+1</f>
        <v>75</v>
      </c>
      <c r="C79" s="10"/>
      <c r="D79" s="49"/>
      <c r="E79" s="21"/>
      <c r="F79" s="22"/>
      <c r="G79" s="9"/>
      <c r="H79" s="9"/>
      <c r="I79" s="10"/>
      <c r="J79" s="11"/>
      <c r="K79" s="11"/>
    </row>
    <row r="80" spans="2:11" x14ac:dyDescent="0.3">
      <c r="B80" s="9">
        <f>MAX(B$5:B79)+1</f>
        <v>76</v>
      </c>
      <c r="C80" s="10"/>
      <c r="D80" s="49"/>
      <c r="E80" s="21"/>
      <c r="F80" s="22"/>
      <c r="G80" s="9"/>
      <c r="H80" s="9"/>
      <c r="I80" s="10"/>
      <c r="J80" s="11"/>
      <c r="K80" s="11"/>
    </row>
    <row r="81" spans="2:11" x14ac:dyDescent="0.3">
      <c r="B81" s="9">
        <f>MAX(B$5:B80)+1</f>
        <v>77</v>
      </c>
      <c r="C81" s="10"/>
      <c r="D81" s="49"/>
      <c r="E81" s="21"/>
      <c r="F81" s="22"/>
      <c r="G81" s="9"/>
      <c r="H81" s="9"/>
      <c r="I81" s="10"/>
      <c r="J81" s="11"/>
      <c r="K81" s="11"/>
    </row>
    <row r="82" spans="2:11" x14ac:dyDescent="0.3">
      <c r="B82" s="9">
        <f>MAX(B$5:B81)+1</f>
        <v>78</v>
      </c>
      <c r="C82" s="10"/>
      <c r="D82" s="49"/>
      <c r="E82" s="21"/>
      <c r="F82" s="22"/>
      <c r="G82" s="9"/>
      <c r="H82" s="9"/>
      <c r="I82" s="10"/>
      <c r="J82" s="11"/>
      <c r="K82" s="11"/>
    </row>
    <row r="83" spans="2:11" x14ac:dyDescent="0.3">
      <c r="B83" s="9">
        <f>MAX(B$5:B82)+1</f>
        <v>79</v>
      </c>
      <c r="C83" s="10"/>
      <c r="D83" s="49"/>
      <c r="E83" s="21"/>
      <c r="F83" s="22"/>
      <c r="G83" s="9"/>
      <c r="H83" s="9"/>
      <c r="I83" s="10"/>
      <c r="J83" s="11"/>
      <c r="K83" s="11"/>
    </row>
    <row r="84" spans="2:11" x14ac:dyDescent="0.3">
      <c r="B84" s="9">
        <f>MAX(B$5:B83)+1</f>
        <v>80</v>
      </c>
      <c r="C84" s="10"/>
      <c r="D84" s="49"/>
      <c r="E84" s="21"/>
      <c r="F84" s="22"/>
      <c r="G84" s="9"/>
      <c r="H84" s="9"/>
      <c r="I84" s="10"/>
      <c r="J84" s="11"/>
      <c r="K84" s="11"/>
    </row>
    <row r="85" spans="2:11" x14ac:dyDescent="0.3">
      <c r="B85" s="9">
        <f>MAX(B$5:B84)+1</f>
        <v>81</v>
      </c>
      <c r="C85" s="10"/>
      <c r="D85" s="49"/>
      <c r="E85" s="21"/>
      <c r="F85" s="22"/>
      <c r="G85" s="9"/>
      <c r="H85" s="9"/>
      <c r="I85" s="10"/>
      <c r="J85" s="11"/>
      <c r="K85" s="11"/>
    </row>
    <row r="86" spans="2:11" x14ac:dyDescent="0.3">
      <c r="B86" s="9">
        <f>MAX(B$5:B85)+1</f>
        <v>82</v>
      </c>
      <c r="C86" s="10"/>
      <c r="D86" s="49"/>
      <c r="E86" s="21"/>
      <c r="F86" s="22"/>
      <c r="G86" s="9"/>
      <c r="H86" s="9"/>
      <c r="I86" s="10"/>
      <c r="J86" s="11"/>
      <c r="K86" s="11"/>
    </row>
    <row r="87" spans="2:11" x14ac:dyDescent="0.3">
      <c r="B87" s="9">
        <f>MAX(B$5:B86)+1</f>
        <v>83</v>
      </c>
      <c r="C87" s="10"/>
      <c r="D87" s="49"/>
      <c r="E87" s="21"/>
      <c r="F87" s="22"/>
      <c r="G87" s="9"/>
      <c r="H87" s="9"/>
      <c r="I87" s="10"/>
      <c r="J87" s="11"/>
      <c r="K87" s="11"/>
    </row>
    <row r="88" spans="2:11" x14ac:dyDescent="0.3">
      <c r="B88" s="9">
        <f>MAX(B$5:B87)+1</f>
        <v>84</v>
      </c>
      <c r="C88" s="10"/>
      <c r="D88" s="49"/>
      <c r="E88" s="21"/>
      <c r="F88" s="22"/>
      <c r="G88" s="9"/>
      <c r="H88" s="9"/>
      <c r="I88" s="10"/>
      <c r="J88" s="11"/>
      <c r="K88" s="11"/>
    </row>
    <row r="89" spans="2:11" x14ac:dyDescent="0.3">
      <c r="B89" s="9">
        <f>MAX(B$5:B88)+1</f>
        <v>85</v>
      </c>
      <c r="C89" s="10"/>
      <c r="D89" s="49"/>
      <c r="E89" s="21"/>
      <c r="F89" s="22"/>
      <c r="G89" s="9"/>
      <c r="H89" s="9"/>
      <c r="I89" s="10"/>
      <c r="J89" s="11"/>
      <c r="K89" s="11"/>
    </row>
    <row r="90" spans="2:11" x14ac:dyDescent="0.3">
      <c r="B90" s="9">
        <f>MAX(B$5:B89)+1</f>
        <v>86</v>
      </c>
      <c r="C90" s="10"/>
      <c r="D90" s="49"/>
      <c r="E90" s="21"/>
      <c r="F90" s="22"/>
      <c r="G90" s="9"/>
      <c r="H90" s="9"/>
      <c r="I90" s="10"/>
      <c r="J90" s="11"/>
      <c r="K90" s="11"/>
    </row>
    <row r="91" spans="2:11" x14ac:dyDescent="0.3">
      <c r="B91" s="9">
        <f>MAX(B$5:B90)+1</f>
        <v>87</v>
      </c>
      <c r="C91" s="10"/>
      <c r="D91" s="49"/>
      <c r="E91" s="21"/>
      <c r="F91" s="22"/>
      <c r="G91" s="9"/>
      <c r="H91" s="9"/>
      <c r="I91" s="10"/>
      <c r="J91" s="11"/>
      <c r="K91" s="11"/>
    </row>
    <row r="92" spans="2:11" x14ac:dyDescent="0.3">
      <c r="B92" s="9">
        <f>MAX(B$5:B91)+1</f>
        <v>88</v>
      </c>
      <c r="C92" s="10"/>
      <c r="D92" s="49"/>
      <c r="E92" s="21"/>
      <c r="F92" s="22"/>
      <c r="G92" s="9"/>
      <c r="H92" s="9"/>
      <c r="I92" s="10"/>
      <c r="J92" s="11"/>
      <c r="K92" s="11"/>
    </row>
    <row r="93" spans="2:11" x14ac:dyDescent="0.3">
      <c r="B93" s="9">
        <f>MAX(B$5:B92)+1</f>
        <v>89</v>
      </c>
      <c r="C93" s="10"/>
      <c r="D93" s="49"/>
      <c r="E93" s="21"/>
      <c r="F93" s="22"/>
      <c r="G93" s="9"/>
      <c r="H93" s="9"/>
      <c r="I93" s="10"/>
      <c r="J93" s="11"/>
      <c r="K93" s="11"/>
    </row>
    <row r="94" spans="2:11" x14ac:dyDescent="0.3">
      <c r="B94" s="9">
        <f>MAX(B$5:B93)+1</f>
        <v>90</v>
      </c>
      <c r="C94" s="10"/>
      <c r="D94" s="49"/>
      <c r="E94" s="21"/>
      <c r="F94" s="22"/>
      <c r="G94" s="9"/>
      <c r="H94" s="9"/>
      <c r="I94" s="10"/>
      <c r="J94" s="11"/>
      <c r="K94" s="11"/>
    </row>
    <row r="95" spans="2:11" x14ac:dyDescent="0.3">
      <c r="B95" s="9">
        <f>MAX(B$5:B94)+1</f>
        <v>91</v>
      </c>
      <c r="C95" s="10"/>
      <c r="D95" s="49"/>
      <c r="E95" s="21"/>
      <c r="F95" s="22"/>
      <c r="G95" s="9"/>
      <c r="H95" s="9"/>
      <c r="I95" s="10"/>
      <c r="J95" s="11"/>
      <c r="K95" s="11"/>
    </row>
    <row r="96" spans="2:11" x14ac:dyDescent="0.3">
      <c r="B96" s="9">
        <f>MAX(B$5:B95)+1</f>
        <v>92</v>
      </c>
      <c r="C96" s="10"/>
      <c r="D96" s="49"/>
      <c r="E96" s="21"/>
      <c r="F96" s="22"/>
      <c r="G96" s="9"/>
      <c r="H96" s="9"/>
      <c r="I96" s="10"/>
      <c r="J96" s="11"/>
      <c r="K96" s="11"/>
    </row>
    <row r="97" spans="1:11" x14ac:dyDescent="0.3">
      <c r="B97" s="9">
        <f>MAX(B$5:B96)+1</f>
        <v>93</v>
      </c>
      <c r="C97" s="10"/>
      <c r="D97" s="49"/>
      <c r="E97" s="21"/>
      <c r="F97" s="22"/>
      <c r="G97" s="9"/>
      <c r="H97" s="9"/>
      <c r="I97" s="10"/>
      <c r="J97" s="11"/>
      <c r="K97" s="11"/>
    </row>
    <row r="98" spans="1:11" x14ac:dyDescent="0.3">
      <c r="B98" s="9">
        <f>MAX(B$5:B97)+1</f>
        <v>94</v>
      </c>
      <c r="C98" s="10"/>
      <c r="D98" s="49"/>
      <c r="E98" s="21"/>
      <c r="F98" s="22"/>
      <c r="G98" s="9"/>
      <c r="H98" s="9"/>
      <c r="I98" s="10"/>
      <c r="J98" s="11"/>
      <c r="K98" s="11"/>
    </row>
    <row r="99" spans="1:11" x14ac:dyDescent="0.3">
      <c r="B99" s="9">
        <f>MAX(B$5:B98)+1</f>
        <v>95</v>
      </c>
      <c r="C99" s="10"/>
      <c r="D99" s="49"/>
      <c r="E99" s="21"/>
      <c r="F99" s="22"/>
      <c r="G99" s="9"/>
      <c r="H99" s="9"/>
      <c r="I99" s="10"/>
      <c r="J99" s="11"/>
      <c r="K99" s="11"/>
    </row>
    <row r="100" spans="1:11" x14ac:dyDescent="0.3">
      <c r="B100" s="9">
        <f>MAX(B$5:B99)+1</f>
        <v>96</v>
      </c>
      <c r="C100" s="10"/>
      <c r="D100" s="49"/>
      <c r="E100" s="21"/>
      <c r="F100" s="22"/>
      <c r="G100" s="9"/>
      <c r="H100" s="9"/>
      <c r="I100" s="10"/>
      <c r="J100" s="11"/>
      <c r="K100" s="11"/>
    </row>
    <row r="101" spans="1:11" x14ac:dyDescent="0.3">
      <c r="B101" s="9">
        <f>MAX(B$5:B100)+1</f>
        <v>97</v>
      </c>
      <c r="C101" s="10"/>
      <c r="D101" s="49"/>
      <c r="E101" s="21"/>
      <c r="F101" s="22"/>
      <c r="G101" s="9"/>
      <c r="H101" s="9"/>
      <c r="I101" s="10"/>
      <c r="J101" s="11"/>
      <c r="K101" s="11"/>
    </row>
    <row r="102" spans="1:11" x14ac:dyDescent="0.3">
      <c r="B102" s="9">
        <f>MAX(B$5:B101)+1</f>
        <v>98</v>
      </c>
      <c r="C102" s="10"/>
      <c r="D102" s="49"/>
      <c r="E102" s="21"/>
      <c r="F102" s="22"/>
      <c r="G102" s="9"/>
      <c r="H102" s="9"/>
      <c r="I102" s="10"/>
      <c r="J102" s="11"/>
      <c r="K102" s="11"/>
    </row>
    <row r="103" spans="1:11" x14ac:dyDescent="0.3">
      <c r="B103" s="9">
        <f>MAX(B$5:B102)+1</f>
        <v>99</v>
      </c>
      <c r="C103" s="10"/>
      <c r="D103" s="49"/>
      <c r="E103" s="21"/>
      <c r="F103" s="22"/>
      <c r="G103" s="9"/>
      <c r="H103" s="9"/>
      <c r="I103" s="10"/>
      <c r="J103" s="11"/>
      <c r="K103" s="11"/>
    </row>
    <row r="104" spans="1:11" x14ac:dyDescent="0.3">
      <c r="B104" s="9">
        <f>MAX(B$5:B103)+1</f>
        <v>100</v>
      </c>
      <c r="C104" s="10"/>
      <c r="D104" s="49"/>
      <c r="E104" s="21"/>
      <c r="F104" s="22"/>
      <c r="G104" s="9"/>
      <c r="H104" s="9"/>
      <c r="I104" s="10"/>
      <c r="J104" s="11"/>
      <c r="K104" s="11"/>
    </row>
    <row r="105" spans="1:11" x14ac:dyDescent="0.3">
      <c r="A105"/>
      <c r="B105"/>
      <c r="C105"/>
      <c r="D105"/>
      <c r="E105"/>
      <c r="F105"/>
      <c r="G105"/>
      <c r="H105"/>
      <c r="I105"/>
      <c r="J105"/>
      <c r="K105"/>
    </row>
    <row r="106" spans="1:11" x14ac:dyDescent="0.3">
      <c r="A106"/>
      <c r="B106"/>
      <c r="C106"/>
      <c r="D106"/>
      <c r="E106"/>
      <c r="F106"/>
      <c r="G106"/>
      <c r="H106"/>
      <c r="I106"/>
      <c r="J106"/>
      <c r="K106"/>
    </row>
    <row r="107" spans="1:11" x14ac:dyDescent="0.3">
      <c r="A107"/>
      <c r="B107"/>
      <c r="C107"/>
      <c r="D107"/>
      <c r="E107"/>
      <c r="F107"/>
      <c r="G107"/>
      <c r="H107"/>
      <c r="I107"/>
      <c r="J107"/>
      <c r="K107"/>
    </row>
    <row r="108" spans="1:11" x14ac:dyDescent="0.3">
      <c r="A108"/>
      <c r="B108"/>
      <c r="C108"/>
      <c r="D108"/>
      <c r="E108"/>
      <c r="F108"/>
      <c r="G108"/>
      <c r="H108"/>
      <c r="I108"/>
      <c r="J108"/>
      <c r="K108"/>
    </row>
    <row r="109" spans="1:11" x14ac:dyDescent="0.3">
      <c r="A109"/>
      <c r="B109"/>
      <c r="C109"/>
      <c r="D109"/>
      <c r="E109"/>
      <c r="F109"/>
      <c r="G109"/>
      <c r="H109"/>
      <c r="I109"/>
      <c r="J109"/>
      <c r="K109"/>
    </row>
    <row r="110" spans="1:11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x14ac:dyDescent="0.3">
      <c r="A112"/>
      <c r="B112"/>
      <c r="C112"/>
      <c r="D112"/>
      <c r="E112"/>
      <c r="F112"/>
      <c r="G112"/>
      <c r="H112"/>
      <c r="I112"/>
      <c r="J112"/>
      <c r="K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</sheetData>
  <autoFilter ref="B4:K104" xr:uid="{876FEF02-21FA-40B3-A7C7-0BAFC3934B31}"/>
  <conditionalFormatting sqref="G5:G104">
    <cfRule type="expression" dxfId="11" priority="985">
      <formula>SEARCH("Medium",$G5)&gt;0</formula>
    </cfRule>
    <cfRule type="expression" dxfId="10" priority="986">
      <formula>SEARCH("High",$G5)&gt;0</formula>
    </cfRule>
    <cfRule type="expression" dxfId="9" priority="987">
      <formula>SEARCH("Highest",$G5)&gt;0</formula>
    </cfRule>
  </conditionalFormatting>
  <conditionalFormatting sqref="H5:H104">
    <cfRule type="expression" dxfId="8" priority="990">
      <formula>SEARCH("Partial",$H5)&gt;0</formula>
    </cfRule>
    <cfRule type="expression" dxfId="7" priority="991">
      <formula>SEARCH("Open",$H5)&gt;0</formula>
    </cfRule>
    <cfRule type="expression" dxfId="6" priority="992">
      <formula>SEARCH("Closed",$H5)&gt;0</formula>
    </cfRule>
  </conditionalFormatting>
  <dataValidations count="2">
    <dataValidation type="list" allowBlank="1" showInputMessage="1" showErrorMessage="1" sqref="H5:H104" xr:uid="{9B2B9B0F-BC4A-4134-AA89-D7289EC93E04}">
      <formula1>"Open, Partial, Closed, N/A"</formula1>
    </dataValidation>
    <dataValidation type="list" allowBlank="1" showInputMessage="1" showErrorMessage="1" sqref="G5:G104" xr:uid="{5449A0E5-B061-4B93-8786-4B5AD9E446A5}">
      <formula1>"Highest, High, Medium, Low"</formula1>
    </dataValidation>
  </dataValidations>
  <printOptions horizontalCentered="1"/>
  <pageMargins left="0.25" right="0.25" top="0.25" bottom="0.5" header="0" footer="0.25"/>
  <pageSetup scale="47" fitToHeight="0" orientation="landscape" r:id="rId1"/>
  <headerFooter alignWithMargins="0">
    <oddFooter>&amp;L&amp;1#&amp;"Calibri,Regular"&amp;10&amp;K000000Confidential&amp;C&amp;G&amp;R&amp;8&amp;P of &amp;N</oddFooter>
  </headerFooter>
  <customProperties>
    <customPr name="Guid" r:id="rId2"/>
  </customProperties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A02EBA-B6EC-401B-A071-809399F44A45}">
          <x14:formula1>
            <xm:f>Overview!$B$54:$B$63</xm:f>
          </x14:formula1>
          <xm:sqref>D5:D104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32F9-F873-4C42-BDF6-BA89A2125ADC}">
  <sheetPr>
    <pageSetUpPr fitToPage="1"/>
  </sheetPr>
  <dimension ref="B1:AA104"/>
  <sheetViews>
    <sheetView showGridLines="0" zoomScale="85" zoomScaleNormal="85" zoomScaleSheetLayoutView="85" zoomScalePageLayoutView="150" workbookViewId="0">
      <pane xSplit="8" ySplit="4" topLeftCell="I5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ColWidth="8.53515625" defaultRowHeight="12.45" x14ac:dyDescent="0.3"/>
  <cols>
    <col min="1" max="1" width="1.53515625" style="1" customWidth="1"/>
    <col min="2" max="2" width="5.53515625" style="1" customWidth="1"/>
    <col min="3" max="3" width="13.4609375" style="1" bestFit="1" customWidth="1"/>
    <col min="4" max="4" width="15.53515625" style="50" customWidth="1"/>
    <col min="5" max="5" width="65.69140625" style="2" customWidth="1"/>
    <col min="6" max="6" width="13.4609375" style="3" customWidth="1"/>
    <col min="7" max="9" width="10.53515625" style="1" customWidth="1"/>
    <col min="10" max="11" width="65.69140625" style="3" customWidth="1"/>
    <col min="12" max="12" width="8.53515625" style="1"/>
    <col min="13" max="13" width="23.4609375" style="1" customWidth="1"/>
    <col min="14" max="16384" width="8.53515625" style="1"/>
  </cols>
  <sheetData>
    <row r="1" spans="2:27" s="6" customFormat="1" ht="10.4" customHeight="1" x14ac:dyDescent="0.3">
      <c r="B1" s="8"/>
      <c r="C1" s="8"/>
      <c r="D1" s="4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2:27" s="6" customFormat="1" ht="20.149999999999999" customHeight="1" x14ac:dyDescent="0.3">
      <c r="B2" s="32" t="str">
        <f ca="1">Project&amp;"  |  "&amp;REPLACE(CELL("filename",D1),1,FIND("]",CELL("filename",D1)),"")&amp;" Diligence Tracker"</f>
        <v xml:space="preserve"> Project Beacon  |  Advisor C Diligence Tracker</v>
      </c>
      <c r="C2" s="33"/>
      <c r="D2" s="48"/>
      <c r="E2" s="31"/>
      <c r="F2" s="34"/>
      <c r="G2" s="31"/>
      <c r="H2" s="31"/>
      <c r="I2" s="31"/>
      <c r="J2" s="31"/>
      <c r="K2" s="3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4" spans="2:27" s="23" customFormat="1" ht="24.9" x14ac:dyDescent="0.3">
      <c r="B4" s="25" t="s">
        <v>18</v>
      </c>
      <c r="C4" s="24" t="s">
        <v>19</v>
      </c>
      <c r="D4" s="24" t="s">
        <v>20</v>
      </c>
      <c r="E4" s="25" t="s">
        <v>21</v>
      </c>
      <c r="F4" s="24" t="s">
        <v>22</v>
      </c>
      <c r="G4" s="25" t="s">
        <v>23</v>
      </c>
      <c r="H4" s="25" t="s">
        <v>24</v>
      </c>
      <c r="I4" s="24" t="s">
        <v>25</v>
      </c>
      <c r="J4" s="24" t="s">
        <v>26</v>
      </c>
      <c r="K4" s="24" t="s">
        <v>27</v>
      </c>
    </row>
    <row r="5" spans="2:27" x14ac:dyDescent="0.3">
      <c r="B5" s="9">
        <v>1</v>
      </c>
      <c r="C5" s="10"/>
      <c r="D5" s="49"/>
      <c r="E5" s="21"/>
      <c r="F5" s="22"/>
      <c r="G5" s="9"/>
      <c r="H5" s="9"/>
      <c r="I5" s="10"/>
      <c r="J5" s="11"/>
      <c r="K5" s="11"/>
    </row>
    <row r="6" spans="2:27" x14ac:dyDescent="0.3">
      <c r="B6" s="9">
        <f>MAX(B$5:B5)+1</f>
        <v>2</v>
      </c>
      <c r="C6" s="10"/>
      <c r="D6" s="49"/>
      <c r="E6" s="21"/>
      <c r="F6" s="22"/>
      <c r="G6" s="9"/>
      <c r="H6" s="9"/>
      <c r="I6" s="10"/>
      <c r="J6" s="11"/>
      <c r="K6" s="11"/>
    </row>
    <row r="7" spans="2:27" x14ac:dyDescent="0.3">
      <c r="B7" s="9">
        <f>MAX(B$5:B6)+1</f>
        <v>3</v>
      </c>
      <c r="C7" s="10"/>
      <c r="D7" s="49"/>
      <c r="E7" s="21"/>
      <c r="F7" s="22"/>
      <c r="G7" s="9"/>
      <c r="H7" s="9"/>
      <c r="I7" s="10"/>
      <c r="J7" s="11"/>
      <c r="K7" s="11"/>
    </row>
    <row r="8" spans="2:27" x14ac:dyDescent="0.3">
      <c r="B8" s="9">
        <f>MAX(B$5:B7)+1</f>
        <v>4</v>
      </c>
      <c r="C8" s="10"/>
      <c r="D8" s="49"/>
      <c r="E8" s="21"/>
      <c r="F8" s="22"/>
      <c r="G8" s="9"/>
      <c r="H8" s="9"/>
      <c r="I8" s="10"/>
      <c r="J8" s="11"/>
      <c r="K8" s="11"/>
    </row>
    <row r="9" spans="2:27" x14ac:dyDescent="0.3">
      <c r="B9" s="9">
        <f>MAX(B$5:B8)+1</f>
        <v>5</v>
      </c>
      <c r="C9" s="10"/>
      <c r="D9" s="49"/>
      <c r="E9" s="21"/>
      <c r="F9" s="22"/>
      <c r="G9" s="9"/>
      <c r="H9" s="9"/>
      <c r="I9" s="10"/>
      <c r="J9" s="11"/>
      <c r="K9" s="11"/>
    </row>
    <row r="10" spans="2:27" x14ac:dyDescent="0.3">
      <c r="B10" s="9">
        <f>MAX(B$5:B9)+1</f>
        <v>6</v>
      </c>
      <c r="C10" s="10"/>
      <c r="D10" s="49"/>
      <c r="E10" s="21"/>
      <c r="F10" s="22"/>
      <c r="G10" s="9"/>
      <c r="H10" s="9"/>
      <c r="I10" s="10"/>
      <c r="J10" s="11"/>
      <c r="K10" s="11"/>
    </row>
    <row r="11" spans="2:27" x14ac:dyDescent="0.3">
      <c r="B11" s="9">
        <f>MAX(B$5:B10)+1</f>
        <v>7</v>
      </c>
      <c r="C11" s="10"/>
      <c r="D11" s="49"/>
      <c r="E11" s="21"/>
      <c r="F11" s="22"/>
      <c r="G11" s="9"/>
      <c r="H11" s="9"/>
      <c r="I11" s="10"/>
      <c r="J11" s="11"/>
      <c r="K11" s="11"/>
    </row>
    <row r="12" spans="2:27" x14ac:dyDescent="0.3">
      <c r="B12" s="9">
        <f>MAX(B$5:B11)+1</f>
        <v>8</v>
      </c>
      <c r="C12" s="10"/>
      <c r="D12" s="49"/>
      <c r="E12" s="21"/>
      <c r="F12" s="22"/>
      <c r="G12" s="9"/>
      <c r="H12" s="9"/>
      <c r="I12" s="10"/>
      <c r="J12" s="11"/>
      <c r="K12" s="11"/>
    </row>
    <row r="13" spans="2:27" x14ac:dyDescent="0.3">
      <c r="B13" s="9">
        <f>MAX(B$5:B12)+1</f>
        <v>9</v>
      </c>
      <c r="C13" s="10"/>
      <c r="D13" s="49"/>
      <c r="E13" s="21"/>
      <c r="F13" s="22"/>
      <c r="G13" s="9"/>
      <c r="H13" s="9"/>
      <c r="I13" s="10"/>
      <c r="J13" s="11"/>
      <c r="K13" s="11"/>
    </row>
    <row r="14" spans="2:27" x14ac:dyDescent="0.3">
      <c r="B14" s="9">
        <f>MAX(B$5:B13)+1</f>
        <v>10</v>
      </c>
      <c r="C14" s="10"/>
      <c r="D14" s="49"/>
      <c r="E14" s="21"/>
      <c r="F14" s="22"/>
      <c r="G14" s="9"/>
      <c r="H14" s="9"/>
      <c r="I14" s="10"/>
      <c r="J14" s="11"/>
      <c r="K14" s="11"/>
    </row>
    <row r="15" spans="2:27" x14ac:dyDescent="0.3">
      <c r="B15" s="9">
        <f>MAX(B$5:B14)+1</f>
        <v>11</v>
      </c>
      <c r="C15" s="10"/>
      <c r="D15" s="49"/>
      <c r="E15" s="21"/>
      <c r="F15" s="22"/>
      <c r="G15" s="9"/>
      <c r="H15" s="9"/>
      <c r="I15" s="10"/>
      <c r="J15" s="11"/>
      <c r="K15" s="11"/>
    </row>
    <row r="16" spans="2:27" x14ac:dyDescent="0.3">
      <c r="B16" s="9">
        <f>MAX(B$5:B15)+1</f>
        <v>12</v>
      </c>
      <c r="C16" s="10"/>
      <c r="D16" s="49"/>
      <c r="E16" s="21"/>
      <c r="F16" s="22"/>
      <c r="G16" s="9"/>
      <c r="H16" s="9"/>
      <c r="I16" s="10"/>
      <c r="J16" s="11"/>
      <c r="K16" s="11"/>
    </row>
    <row r="17" spans="2:11" x14ac:dyDescent="0.3">
      <c r="B17" s="9">
        <f>MAX(B$5:B16)+1</f>
        <v>13</v>
      </c>
      <c r="C17" s="10"/>
      <c r="D17" s="49"/>
      <c r="E17" s="21"/>
      <c r="F17" s="22"/>
      <c r="G17" s="9"/>
      <c r="H17" s="9"/>
      <c r="I17" s="10"/>
      <c r="J17" s="11"/>
      <c r="K17" s="11"/>
    </row>
    <row r="18" spans="2:11" x14ac:dyDescent="0.3">
      <c r="B18" s="9">
        <f>MAX(B$5:B17)+1</f>
        <v>14</v>
      </c>
      <c r="C18" s="10"/>
      <c r="D18" s="49"/>
      <c r="E18" s="21"/>
      <c r="F18" s="22"/>
      <c r="G18" s="9"/>
      <c r="H18" s="9"/>
      <c r="I18" s="10"/>
      <c r="J18" s="11"/>
      <c r="K18" s="11"/>
    </row>
    <row r="19" spans="2:11" x14ac:dyDescent="0.3">
      <c r="B19" s="9">
        <f>MAX(B$5:B18)+1</f>
        <v>15</v>
      </c>
      <c r="C19" s="10"/>
      <c r="D19" s="49"/>
      <c r="E19" s="21"/>
      <c r="F19" s="22"/>
      <c r="G19" s="9"/>
      <c r="H19" s="9"/>
      <c r="I19" s="10"/>
      <c r="J19" s="11"/>
      <c r="K19" s="11"/>
    </row>
    <row r="20" spans="2:11" x14ac:dyDescent="0.3">
      <c r="B20" s="9">
        <f>MAX(B$5:B19)+1</f>
        <v>16</v>
      </c>
      <c r="C20" s="10"/>
      <c r="D20" s="49"/>
      <c r="E20" s="21"/>
      <c r="F20" s="22"/>
      <c r="G20" s="9"/>
      <c r="H20" s="9"/>
      <c r="I20" s="10"/>
      <c r="J20" s="11"/>
      <c r="K20" s="11"/>
    </row>
    <row r="21" spans="2:11" x14ac:dyDescent="0.3">
      <c r="B21" s="9">
        <f>MAX(B$5:B20)+1</f>
        <v>17</v>
      </c>
      <c r="C21" s="10"/>
      <c r="D21" s="49"/>
      <c r="E21" s="21"/>
      <c r="F21" s="22"/>
      <c r="G21" s="9"/>
      <c r="H21" s="9"/>
      <c r="I21" s="10"/>
      <c r="J21" s="11"/>
      <c r="K21" s="11"/>
    </row>
    <row r="22" spans="2:11" x14ac:dyDescent="0.3">
      <c r="B22" s="9">
        <f>MAX(B$5:B21)+1</f>
        <v>18</v>
      </c>
      <c r="C22" s="10"/>
      <c r="D22" s="49"/>
      <c r="E22" s="21"/>
      <c r="F22" s="22"/>
      <c r="G22" s="9"/>
      <c r="H22" s="9"/>
      <c r="I22" s="10"/>
      <c r="J22" s="11"/>
      <c r="K22" s="11"/>
    </row>
    <row r="23" spans="2:11" x14ac:dyDescent="0.3">
      <c r="B23" s="9">
        <f>MAX(B$5:B22)+1</f>
        <v>19</v>
      </c>
      <c r="C23" s="10"/>
      <c r="D23" s="49"/>
      <c r="E23" s="21"/>
      <c r="F23" s="22"/>
      <c r="G23" s="9"/>
      <c r="H23" s="9"/>
      <c r="I23" s="10"/>
      <c r="J23" s="11"/>
      <c r="K23" s="11"/>
    </row>
    <row r="24" spans="2:11" x14ac:dyDescent="0.3">
      <c r="B24" s="9">
        <f>MAX(B$5:B23)+1</f>
        <v>20</v>
      </c>
      <c r="C24" s="10"/>
      <c r="D24" s="49"/>
      <c r="E24" s="21"/>
      <c r="F24" s="22"/>
      <c r="G24" s="9"/>
      <c r="H24" s="9"/>
      <c r="I24" s="10"/>
      <c r="J24" s="11"/>
      <c r="K24" s="11"/>
    </row>
    <row r="25" spans="2:11" x14ac:dyDescent="0.3">
      <c r="B25" s="9">
        <f>MAX(B$5:B24)+1</f>
        <v>21</v>
      </c>
      <c r="C25" s="10"/>
      <c r="D25" s="49"/>
      <c r="E25" s="21"/>
      <c r="F25" s="22"/>
      <c r="G25" s="9"/>
      <c r="H25" s="9"/>
      <c r="I25" s="10"/>
      <c r="J25" s="11"/>
      <c r="K25" s="11"/>
    </row>
    <row r="26" spans="2:11" x14ac:dyDescent="0.3">
      <c r="B26" s="9">
        <f>MAX(B$5:B25)+1</f>
        <v>22</v>
      </c>
      <c r="C26" s="10"/>
      <c r="D26" s="49"/>
      <c r="E26" s="21"/>
      <c r="F26" s="22"/>
      <c r="G26" s="9"/>
      <c r="H26" s="9"/>
      <c r="I26" s="10"/>
      <c r="J26" s="11"/>
      <c r="K26" s="11"/>
    </row>
    <row r="27" spans="2:11" x14ac:dyDescent="0.3">
      <c r="B27" s="9">
        <f>MAX(B$5:B26)+1</f>
        <v>23</v>
      </c>
      <c r="C27" s="10"/>
      <c r="D27" s="49"/>
      <c r="E27" s="21"/>
      <c r="F27" s="22"/>
      <c r="G27" s="9"/>
      <c r="H27" s="9"/>
      <c r="I27" s="10"/>
      <c r="J27" s="11"/>
      <c r="K27" s="11"/>
    </row>
    <row r="28" spans="2:11" x14ac:dyDescent="0.3">
      <c r="B28" s="9">
        <f>MAX(B$5:B27)+1</f>
        <v>24</v>
      </c>
      <c r="C28" s="10"/>
      <c r="D28" s="49"/>
      <c r="E28" s="21"/>
      <c r="F28" s="22"/>
      <c r="G28" s="9"/>
      <c r="H28" s="9"/>
      <c r="I28" s="10"/>
      <c r="J28" s="11"/>
      <c r="K28" s="11"/>
    </row>
    <row r="29" spans="2:11" x14ac:dyDescent="0.3">
      <c r="B29" s="9">
        <f>MAX(B$5:B28)+1</f>
        <v>25</v>
      </c>
      <c r="C29" s="10"/>
      <c r="D29" s="49"/>
      <c r="E29" s="21"/>
      <c r="F29" s="22"/>
      <c r="G29" s="9"/>
      <c r="H29" s="9"/>
      <c r="I29" s="10"/>
      <c r="J29" s="11"/>
      <c r="K29" s="11"/>
    </row>
    <row r="30" spans="2:11" x14ac:dyDescent="0.3">
      <c r="B30" s="9">
        <f>MAX(B$5:B29)+1</f>
        <v>26</v>
      </c>
      <c r="C30" s="10"/>
      <c r="D30" s="49"/>
      <c r="E30" s="21"/>
      <c r="F30" s="22"/>
      <c r="G30" s="9"/>
      <c r="H30" s="9"/>
      <c r="I30" s="10"/>
      <c r="J30" s="11"/>
      <c r="K30" s="11"/>
    </row>
    <row r="31" spans="2:11" x14ac:dyDescent="0.3">
      <c r="B31" s="9">
        <f>MAX(B$5:B30)+1</f>
        <v>27</v>
      </c>
      <c r="C31" s="10"/>
      <c r="D31" s="49"/>
      <c r="E31" s="21"/>
      <c r="F31" s="22"/>
      <c r="G31" s="9"/>
      <c r="H31" s="9"/>
      <c r="I31" s="10"/>
      <c r="J31" s="11"/>
      <c r="K31" s="11"/>
    </row>
    <row r="32" spans="2:11" x14ac:dyDescent="0.3">
      <c r="B32" s="9">
        <f>MAX(B$5:B31)+1</f>
        <v>28</v>
      </c>
      <c r="C32" s="10"/>
      <c r="D32" s="49"/>
      <c r="E32" s="21"/>
      <c r="F32" s="22"/>
      <c r="G32" s="9"/>
      <c r="H32" s="9"/>
      <c r="I32" s="10"/>
      <c r="J32" s="11"/>
      <c r="K32" s="11"/>
    </row>
    <row r="33" spans="2:11" x14ac:dyDescent="0.3">
      <c r="B33" s="9">
        <f>MAX(B$5:B32)+1</f>
        <v>29</v>
      </c>
      <c r="C33" s="10"/>
      <c r="D33" s="49"/>
      <c r="E33" s="21"/>
      <c r="F33" s="22"/>
      <c r="G33" s="9"/>
      <c r="H33" s="9"/>
      <c r="I33" s="10"/>
      <c r="J33" s="11"/>
      <c r="K33" s="11"/>
    </row>
    <row r="34" spans="2:11" x14ac:dyDescent="0.3">
      <c r="B34" s="9">
        <f>MAX(B$5:B33)+1</f>
        <v>30</v>
      </c>
      <c r="C34" s="10"/>
      <c r="D34" s="49"/>
      <c r="E34" s="21"/>
      <c r="F34" s="22"/>
      <c r="G34" s="9"/>
      <c r="H34" s="9"/>
      <c r="I34" s="10"/>
      <c r="J34" s="11"/>
      <c r="K34" s="11"/>
    </row>
    <row r="35" spans="2:11" x14ac:dyDescent="0.3">
      <c r="B35" s="9">
        <f>MAX(B$5:B34)+1</f>
        <v>31</v>
      </c>
      <c r="C35" s="10"/>
      <c r="D35" s="49"/>
      <c r="E35" s="21"/>
      <c r="F35" s="22"/>
      <c r="G35" s="9"/>
      <c r="H35" s="9"/>
      <c r="I35" s="10"/>
      <c r="J35" s="11"/>
      <c r="K35" s="11"/>
    </row>
    <row r="36" spans="2:11" x14ac:dyDescent="0.3">
      <c r="B36" s="9">
        <f>MAX(B$5:B35)+1</f>
        <v>32</v>
      </c>
      <c r="C36" s="10"/>
      <c r="D36" s="49"/>
      <c r="E36" s="21"/>
      <c r="F36" s="22"/>
      <c r="G36" s="9"/>
      <c r="H36" s="9"/>
      <c r="I36" s="10"/>
      <c r="J36" s="11"/>
      <c r="K36" s="11"/>
    </row>
    <row r="37" spans="2:11" x14ac:dyDescent="0.3">
      <c r="B37" s="9">
        <f>MAX(B$5:B36)+1</f>
        <v>33</v>
      </c>
      <c r="C37" s="10"/>
      <c r="D37" s="49"/>
      <c r="E37" s="21"/>
      <c r="F37" s="22"/>
      <c r="G37" s="9"/>
      <c r="H37" s="9"/>
      <c r="I37" s="10"/>
      <c r="J37" s="11"/>
      <c r="K37" s="11"/>
    </row>
    <row r="38" spans="2:11" x14ac:dyDescent="0.3">
      <c r="B38" s="9">
        <f>MAX(B$5:B37)+1</f>
        <v>34</v>
      </c>
      <c r="C38" s="10"/>
      <c r="D38" s="49"/>
      <c r="E38" s="21"/>
      <c r="F38" s="22"/>
      <c r="G38" s="9"/>
      <c r="H38" s="9"/>
      <c r="I38" s="10"/>
      <c r="J38" s="11"/>
      <c r="K38" s="11"/>
    </row>
    <row r="39" spans="2:11" x14ac:dyDescent="0.3">
      <c r="B39" s="9">
        <f>MAX(B$5:B38)+1</f>
        <v>35</v>
      </c>
      <c r="C39" s="10"/>
      <c r="D39" s="49"/>
      <c r="E39" s="21"/>
      <c r="F39" s="22"/>
      <c r="G39" s="9"/>
      <c r="H39" s="9"/>
      <c r="I39" s="10"/>
      <c r="J39" s="11"/>
      <c r="K39" s="11"/>
    </row>
    <row r="40" spans="2:11" x14ac:dyDescent="0.3">
      <c r="B40" s="9">
        <f>MAX(B$5:B39)+1</f>
        <v>36</v>
      </c>
      <c r="C40" s="10"/>
      <c r="D40" s="49"/>
      <c r="E40" s="21"/>
      <c r="F40" s="22"/>
      <c r="G40" s="9"/>
      <c r="H40" s="9"/>
      <c r="I40" s="10"/>
      <c r="J40" s="11"/>
      <c r="K40" s="11"/>
    </row>
    <row r="41" spans="2:11" x14ac:dyDescent="0.3">
      <c r="B41" s="9">
        <f>MAX(B$5:B40)+1</f>
        <v>37</v>
      </c>
      <c r="C41" s="10"/>
      <c r="D41" s="49"/>
      <c r="E41" s="21"/>
      <c r="F41" s="22"/>
      <c r="G41" s="9"/>
      <c r="H41" s="9"/>
      <c r="I41" s="10"/>
      <c r="J41" s="11"/>
      <c r="K41" s="11"/>
    </row>
    <row r="42" spans="2:11" x14ac:dyDescent="0.3">
      <c r="B42" s="9">
        <f>MAX(B$5:B41)+1</f>
        <v>38</v>
      </c>
      <c r="C42" s="10"/>
      <c r="D42" s="49"/>
      <c r="E42" s="21"/>
      <c r="F42" s="22"/>
      <c r="G42" s="9"/>
      <c r="H42" s="9"/>
      <c r="I42" s="10"/>
      <c r="J42" s="11"/>
      <c r="K42" s="11"/>
    </row>
    <row r="43" spans="2:11" x14ac:dyDescent="0.3">
      <c r="B43" s="9">
        <f>MAX(B$5:B42)+1</f>
        <v>39</v>
      </c>
      <c r="C43" s="10"/>
      <c r="D43" s="49"/>
      <c r="E43" s="21"/>
      <c r="F43" s="22"/>
      <c r="G43" s="9"/>
      <c r="H43" s="9"/>
      <c r="I43" s="10"/>
      <c r="J43" s="11"/>
      <c r="K43" s="11"/>
    </row>
    <row r="44" spans="2:11" x14ac:dyDescent="0.3">
      <c r="B44" s="9">
        <f>MAX(B$5:B43)+1</f>
        <v>40</v>
      </c>
      <c r="C44" s="10"/>
      <c r="D44" s="49"/>
      <c r="E44" s="21"/>
      <c r="F44" s="22"/>
      <c r="G44" s="9"/>
      <c r="H44" s="9"/>
      <c r="I44" s="10"/>
      <c r="J44" s="11"/>
      <c r="K44" s="11"/>
    </row>
    <row r="45" spans="2:11" x14ac:dyDescent="0.3">
      <c r="B45" s="9">
        <f>MAX(B$5:B44)+1</f>
        <v>41</v>
      </c>
      <c r="C45" s="10"/>
      <c r="D45" s="49"/>
      <c r="E45" s="21"/>
      <c r="F45" s="22"/>
      <c r="G45" s="9"/>
      <c r="H45" s="9"/>
      <c r="I45" s="10"/>
      <c r="J45" s="11"/>
      <c r="K45" s="11"/>
    </row>
    <row r="46" spans="2:11" x14ac:dyDescent="0.3">
      <c r="B46" s="9">
        <f>MAX(B$5:B45)+1</f>
        <v>42</v>
      </c>
      <c r="C46" s="10"/>
      <c r="D46" s="49"/>
      <c r="E46" s="21"/>
      <c r="F46" s="22"/>
      <c r="G46" s="9"/>
      <c r="H46" s="9"/>
      <c r="I46" s="10"/>
      <c r="J46" s="11"/>
      <c r="K46" s="11"/>
    </row>
    <row r="47" spans="2:11" x14ac:dyDescent="0.3">
      <c r="B47" s="9">
        <f>MAX(B$5:B46)+1</f>
        <v>43</v>
      </c>
      <c r="C47" s="10"/>
      <c r="D47" s="49"/>
      <c r="E47" s="21"/>
      <c r="F47" s="22"/>
      <c r="G47" s="9"/>
      <c r="H47" s="9"/>
      <c r="I47" s="10"/>
      <c r="J47" s="11"/>
      <c r="K47" s="11"/>
    </row>
    <row r="48" spans="2:11" x14ac:dyDescent="0.3">
      <c r="B48" s="9">
        <f>MAX(B$5:B47)+1</f>
        <v>44</v>
      </c>
      <c r="C48" s="10"/>
      <c r="D48" s="49"/>
      <c r="E48" s="21"/>
      <c r="F48" s="22"/>
      <c r="G48" s="9"/>
      <c r="H48" s="9"/>
      <c r="I48" s="10"/>
      <c r="J48" s="11"/>
      <c r="K48" s="11"/>
    </row>
    <row r="49" spans="2:11" x14ac:dyDescent="0.3">
      <c r="B49" s="9">
        <f>MAX(B$5:B48)+1</f>
        <v>45</v>
      </c>
      <c r="C49" s="10"/>
      <c r="D49" s="49"/>
      <c r="E49" s="21"/>
      <c r="F49" s="22"/>
      <c r="G49" s="9"/>
      <c r="H49" s="9"/>
      <c r="I49" s="10"/>
      <c r="J49" s="11"/>
      <c r="K49" s="11"/>
    </row>
    <row r="50" spans="2:11" x14ac:dyDescent="0.3">
      <c r="B50" s="9">
        <f>MAX(B$5:B49)+1</f>
        <v>46</v>
      </c>
      <c r="C50" s="10"/>
      <c r="D50" s="49"/>
      <c r="E50" s="21"/>
      <c r="F50" s="22"/>
      <c r="G50" s="9"/>
      <c r="H50" s="9"/>
      <c r="I50" s="10"/>
      <c r="J50" s="11"/>
      <c r="K50" s="11"/>
    </row>
    <row r="51" spans="2:11" x14ac:dyDescent="0.3">
      <c r="B51" s="9">
        <f>MAX(B$5:B50)+1</f>
        <v>47</v>
      </c>
      <c r="C51" s="10"/>
      <c r="D51" s="49"/>
      <c r="E51" s="21"/>
      <c r="F51" s="22"/>
      <c r="G51" s="9"/>
      <c r="H51" s="9"/>
      <c r="I51" s="10"/>
      <c r="J51" s="11"/>
      <c r="K51" s="11"/>
    </row>
    <row r="52" spans="2:11" x14ac:dyDescent="0.3">
      <c r="B52" s="9">
        <f>MAX(B$5:B51)+1</f>
        <v>48</v>
      </c>
      <c r="C52" s="10"/>
      <c r="D52" s="49"/>
      <c r="E52" s="21"/>
      <c r="F52" s="22"/>
      <c r="G52" s="9"/>
      <c r="H52" s="9"/>
      <c r="I52" s="10"/>
      <c r="J52" s="11"/>
      <c r="K52" s="11"/>
    </row>
    <row r="53" spans="2:11" x14ac:dyDescent="0.3">
      <c r="B53" s="9">
        <f>MAX(B$5:B52)+1</f>
        <v>49</v>
      </c>
      <c r="C53" s="10"/>
      <c r="D53" s="49"/>
      <c r="E53" s="21"/>
      <c r="F53" s="22"/>
      <c r="G53" s="9"/>
      <c r="H53" s="9"/>
      <c r="I53" s="10"/>
      <c r="J53" s="11"/>
      <c r="K53" s="11"/>
    </row>
    <row r="54" spans="2:11" x14ac:dyDescent="0.3">
      <c r="B54" s="9">
        <f>MAX(B$5:B53)+1</f>
        <v>50</v>
      </c>
      <c r="C54" s="10"/>
      <c r="D54" s="49"/>
      <c r="E54" s="21"/>
      <c r="F54" s="22"/>
      <c r="G54" s="9"/>
      <c r="H54" s="9"/>
      <c r="I54" s="10"/>
      <c r="J54" s="11"/>
      <c r="K54" s="11"/>
    </row>
    <row r="55" spans="2:11" x14ac:dyDescent="0.3">
      <c r="B55" s="9">
        <f>MAX(B$5:B54)+1</f>
        <v>51</v>
      </c>
      <c r="C55" s="10"/>
      <c r="D55" s="49"/>
      <c r="E55" s="21"/>
      <c r="F55" s="22"/>
      <c r="G55" s="9"/>
      <c r="H55" s="9"/>
      <c r="I55" s="10"/>
      <c r="J55" s="11"/>
      <c r="K55" s="11"/>
    </row>
    <row r="56" spans="2:11" x14ac:dyDescent="0.3">
      <c r="B56" s="9">
        <f>MAX(B$5:B55)+1</f>
        <v>52</v>
      </c>
      <c r="C56" s="10"/>
      <c r="D56" s="49"/>
      <c r="E56" s="21"/>
      <c r="F56" s="22"/>
      <c r="G56" s="9"/>
      <c r="H56" s="9"/>
      <c r="I56" s="10"/>
      <c r="J56" s="11"/>
      <c r="K56" s="11"/>
    </row>
    <row r="57" spans="2:11" x14ac:dyDescent="0.3">
      <c r="B57" s="9">
        <f>MAX(B$5:B56)+1</f>
        <v>53</v>
      </c>
      <c r="C57" s="10"/>
      <c r="D57" s="49"/>
      <c r="E57" s="21"/>
      <c r="F57" s="22"/>
      <c r="G57" s="9"/>
      <c r="H57" s="9"/>
      <c r="I57" s="10"/>
      <c r="J57" s="11"/>
      <c r="K57" s="11"/>
    </row>
    <row r="58" spans="2:11" x14ac:dyDescent="0.3">
      <c r="B58" s="9">
        <f>MAX(B$5:B57)+1</f>
        <v>54</v>
      </c>
      <c r="C58" s="10"/>
      <c r="D58" s="49"/>
      <c r="E58" s="21"/>
      <c r="F58" s="22"/>
      <c r="G58" s="9"/>
      <c r="H58" s="9"/>
      <c r="I58" s="10"/>
      <c r="J58" s="11"/>
      <c r="K58" s="11"/>
    </row>
    <row r="59" spans="2:11" x14ac:dyDescent="0.3">
      <c r="B59" s="9">
        <f>MAX(B$5:B58)+1</f>
        <v>55</v>
      </c>
      <c r="C59" s="10"/>
      <c r="D59" s="49"/>
      <c r="E59" s="21"/>
      <c r="F59" s="22"/>
      <c r="G59" s="9"/>
      <c r="H59" s="9"/>
      <c r="I59" s="10"/>
      <c r="J59" s="11"/>
      <c r="K59" s="11"/>
    </row>
    <row r="60" spans="2:11" x14ac:dyDescent="0.3">
      <c r="B60" s="9">
        <f>MAX(B$5:B59)+1</f>
        <v>56</v>
      </c>
      <c r="C60" s="10"/>
      <c r="D60" s="49"/>
      <c r="E60" s="21"/>
      <c r="F60" s="22"/>
      <c r="G60" s="9"/>
      <c r="H60" s="9"/>
      <c r="I60" s="10"/>
      <c r="J60" s="11"/>
      <c r="K60" s="11"/>
    </row>
    <row r="61" spans="2:11" x14ac:dyDescent="0.3">
      <c r="B61" s="9">
        <f>MAX(B$5:B60)+1</f>
        <v>57</v>
      </c>
      <c r="C61" s="10"/>
      <c r="D61" s="49"/>
      <c r="E61" s="21"/>
      <c r="F61" s="22"/>
      <c r="G61" s="9"/>
      <c r="H61" s="9"/>
      <c r="I61" s="10"/>
      <c r="J61" s="11"/>
      <c r="K61" s="11"/>
    </row>
    <row r="62" spans="2:11" x14ac:dyDescent="0.3">
      <c r="B62" s="9">
        <f>MAX(B$5:B61)+1</f>
        <v>58</v>
      </c>
      <c r="C62" s="10"/>
      <c r="D62" s="49"/>
      <c r="E62" s="21"/>
      <c r="F62" s="22"/>
      <c r="G62" s="9"/>
      <c r="H62" s="9"/>
      <c r="I62" s="10"/>
      <c r="J62" s="11"/>
      <c r="K62" s="11"/>
    </row>
    <row r="63" spans="2:11" x14ac:dyDescent="0.3">
      <c r="B63" s="9">
        <f>MAX(B$5:B62)+1</f>
        <v>59</v>
      </c>
      <c r="C63" s="10"/>
      <c r="D63" s="49"/>
      <c r="E63" s="21"/>
      <c r="F63" s="22"/>
      <c r="G63" s="9"/>
      <c r="H63" s="9"/>
      <c r="I63" s="10"/>
      <c r="J63" s="11"/>
      <c r="K63" s="11"/>
    </row>
    <row r="64" spans="2:11" x14ac:dyDescent="0.3">
      <c r="B64" s="9">
        <f>MAX(B$5:B63)+1</f>
        <v>60</v>
      </c>
      <c r="C64" s="10"/>
      <c r="D64" s="49"/>
      <c r="E64" s="21"/>
      <c r="F64" s="22"/>
      <c r="G64" s="9"/>
      <c r="H64" s="9"/>
      <c r="I64" s="10"/>
      <c r="J64" s="11"/>
      <c r="K64" s="11"/>
    </row>
    <row r="65" spans="2:11" x14ac:dyDescent="0.3">
      <c r="B65" s="9">
        <f>MAX(B$5:B64)+1</f>
        <v>61</v>
      </c>
      <c r="C65" s="10"/>
      <c r="D65" s="49"/>
      <c r="E65" s="21"/>
      <c r="F65" s="22"/>
      <c r="G65" s="9"/>
      <c r="H65" s="9"/>
      <c r="I65" s="10"/>
      <c r="J65" s="11"/>
      <c r="K65" s="11"/>
    </row>
    <row r="66" spans="2:11" x14ac:dyDescent="0.3">
      <c r="B66" s="9">
        <f>MAX(B$5:B65)+1</f>
        <v>62</v>
      </c>
      <c r="C66" s="10"/>
      <c r="D66" s="49"/>
      <c r="E66" s="21"/>
      <c r="F66" s="22"/>
      <c r="G66" s="9"/>
      <c r="H66" s="9"/>
      <c r="I66" s="10"/>
      <c r="J66" s="11"/>
      <c r="K66" s="11"/>
    </row>
    <row r="67" spans="2:11" x14ac:dyDescent="0.3">
      <c r="B67" s="9">
        <f>MAX(B$5:B66)+1</f>
        <v>63</v>
      </c>
      <c r="C67" s="10"/>
      <c r="D67" s="49"/>
      <c r="E67" s="21"/>
      <c r="F67" s="22"/>
      <c r="G67" s="9"/>
      <c r="H67" s="9"/>
      <c r="I67" s="10"/>
      <c r="J67" s="11"/>
      <c r="K67" s="11"/>
    </row>
    <row r="68" spans="2:11" x14ac:dyDescent="0.3">
      <c r="B68" s="9">
        <f>MAX(B$5:B67)+1</f>
        <v>64</v>
      </c>
      <c r="C68" s="10"/>
      <c r="D68" s="49"/>
      <c r="E68" s="21"/>
      <c r="F68" s="22"/>
      <c r="G68" s="9"/>
      <c r="H68" s="9"/>
      <c r="I68" s="10"/>
      <c r="J68" s="11"/>
      <c r="K68" s="11"/>
    </row>
    <row r="69" spans="2:11" x14ac:dyDescent="0.3">
      <c r="B69" s="9">
        <f>MAX(B$5:B68)+1</f>
        <v>65</v>
      </c>
      <c r="C69" s="10"/>
      <c r="D69" s="49"/>
      <c r="E69" s="21"/>
      <c r="F69" s="22"/>
      <c r="G69" s="9"/>
      <c r="H69" s="9"/>
      <c r="I69" s="10"/>
      <c r="J69" s="11"/>
      <c r="K69" s="11"/>
    </row>
    <row r="70" spans="2:11" x14ac:dyDescent="0.3">
      <c r="B70" s="9">
        <f>MAX(B$5:B69)+1</f>
        <v>66</v>
      </c>
      <c r="C70" s="10"/>
      <c r="D70" s="49"/>
      <c r="E70" s="21"/>
      <c r="F70" s="22"/>
      <c r="G70" s="9"/>
      <c r="H70" s="9"/>
      <c r="I70" s="10"/>
      <c r="J70" s="11"/>
      <c r="K70" s="11"/>
    </row>
    <row r="71" spans="2:11" x14ac:dyDescent="0.3">
      <c r="B71" s="9">
        <f>MAX(B$5:B70)+1</f>
        <v>67</v>
      </c>
      <c r="C71" s="10"/>
      <c r="D71" s="49"/>
      <c r="E71" s="21"/>
      <c r="F71" s="22"/>
      <c r="G71" s="9"/>
      <c r="H71" s="9"/>
      <c r="I71" s="10"/>
      <c r="J71" s="11"/>
      <c r="K71" s="11"/>
    </row>
    <row r="72" spans="2:11" x14ac:dyDescent="0.3">
      <c r="B72" s="9">
        <f>MAX(B$5:B71)+1</f>
        <v>68</v>
      </c>
      <c r="C72" s="10"/>
      <c r="D72" s="49"/>
      <c r="E72" s="21"/>
      <c r="F72" s="22"/>
      <c r="G72" s="9"/>
      <c r="H72" s="9"/>
      <c r="I72" s="10"/>
      <c r="J72" s="11"/>
      <c r="K72" s="11"/>
    </row>
    <row r="73" spans="2:11" x14ac:dyDescent="0.3">
      <c r="B73" s="9">
        <f>MAX(B$5:B72)+1</f>
        <v>69</v>
      </c>
      <c r="C73" s="10"/>
      <c r="D73" s="49"/>
      <c r="E73" s="21"/>
      <c r="F73" s="22"/>
      <c r="G73" s="9"/>
      <c r="H73" s="9"/>
      <c r="I73" s="10"/>
      <c r="J73" s="11"/>
      <c r="K73" s="11"/>
    </row>
    <row r="74" spans="2:11" x14ac:dyDescent="0.3">
      <c r="B74" s="9">
        <f>MAX(B$5:B73)+1</f>
        <v>70</v>
      </c>
      <c r="C74" s="10"/>
      <c r="D74" s="49"/>
      <c r="E74" s="21"/>
      <c r="F74" s="22"/>
      <c r="G74" s="9"/>
      <c r="H74" s="9"/>
      <c r="I74" s="10"/>
      <c r="J74" s="11"/>
      <c r="K74" s="11"/>
    </row>
    <row r="75" spans="2:11" x14ac:dyDescent="0.3">
      <c r="B75" s="9">
        <f>MAX(B$5:B74)+1</f>
        <v>71</v>
      </c>
      <c r="C75" s="10"/>
      <c r="D75" s="49"/>
      <c r="E75" s="21"/>
      <c r="F75" s="22"/>
      <c r="G75" s="9"/>
      <c r="H75" s="9"/>
      <c r="I75" s="10"/>
      <c r="J75" s="11"/>
      <c r="K75" s="11"/>
    </row>
    <row r="76" spans="2:11" x14ac:dyDescent="0.3">
      <c r="B76" s="9">
        <f>MAX(B$5:B75)+1</f>
        <v>72</v>
      </c>
      <c r="C76" s="10"/>
      <c r="D76" s="49"/>
      <c r="E76" s="21"/>
      <c r="F76" s="22"/>
      <c r="G76" s="9"/>
      <c r="H76" s="9"/>
      <c r="I76" s="10"/>
      <c r="J76" s="11"/>
      <c r="K76" s="11"/>
    </row>
    <row r="77" spans="2:11" x14ac:dyDescent="0.3">
      <c r="B77" s="9">
        <f>MAX(B$5:B76)+1</f>
        <v>73</v>
      </c>
      <c r="C77" s="10"/>
      <c r="D77" s="49"/>
      <c r="E77" s="21"/>
      <c r="F77" s="22"/>
      <c r="G77" s="9"/>
      <c r="H77" s="9"/>
      <c r="I77" s="10"/>
      <c r="J77" s="11"/>
      <c r="K77" s="11"/>
    </row>
    <row r="78" spans="2:11" x14ac:dyDescent="0.3">
      <c r="B78" s="9">
        <f>MAX(B$5:B77)+1</f>
        <v>74</v>
      </c>
      <c r="C78" s="10"/>
      <c r="D78" s="49"/>
      <c r="E78" s="21"/>
      <c r="F78" s="22"/>
      <c r="G78" s="9"/>
      <c r="H78" s="9"/>
      <c r="I78" s="10"/>
      <c r="J78" s="11"/>
      <c r="K78" s="11"/>
    </row>
    <row r="79" spans="2:11" x14ac:dyDescent="0.3">
      <c r="B79" s="9">
        <f>MAX(B$5:B78)+1</f>
        <v>75</v>
      </c>
      <c r="C79" s="10"/>
      <c r="D79" s="49"/>
      <c r="E79" s="21"/>
      <c r="F79" s="22"/>
      <c r="G79" s="9"/>
      <c r="H79" s="9"/>
      <c r="I79" s="10"/>
      <c r="J79" s="11"/>
      <c r="K79" s="11"/>
    </row>
    <row r="80" spans="2:11" x14ac:dyDescent="0.3">
      <c r="B80" s="9">
        <f>MAX(B$5:B79)+1</f>
        <v>76</v>
      </c>
      <c r="C80" s="10"/>
      <c r="D80" s="49"/>
      <c r="E80" s="21"/>
      <c r="F80" s="22"/>
      <c r="G80" s="9"/>
      <c r="H80" s="9"/>
      <c r="I80" s="10"/>
      <c r="J80" s="11"/>
      <c r="K80" s="11"/>
    </row>
    <row r="81" spans="2:11" x14ac:dyDescent="0.3">
      <c r="B81" s="9">
        <f>MAX(B$5:B80)+1</f>
        <v>77</v>
      </c>
      <c r="C81" s="10"/>
      <c r="D81" s="49"/>
      <c r="E81" s="21"/>
      <c r="F81" s="22"/>
      <c r="G81" s="9"/>
      <c r="H81" s="9"/>
      <c r="I81" s="10"/>
      <c r="J81" s="11"/>
      <c r="K81" s="11"/>
    </row>
    <row r="82" spans="2:11" x14ac:dyDescent="0.3">
      <c r="B82" s="9">
        <f>MAX(B$5:B81)+1</f>
        <v>78</v>
      </c>
      <c r="C82" s="10"/>
      <c r="D82" s="49"/>
      <c r="E82" s="21"/>
      <c r="F82" s="22"/>
      <c r="G82" s="9"/>
      <c r="H82" s="9"/>
      <c r="I82" s="10"/>
      <c r="J82" s="11"/>
      <c r="K82" s="11"/>
    </row>
    <row r="83" spans="2:11" x14ac:dyDescent="0.3">
      <c r="B83" s="9">
        <f>MAX(B$5:B82)+1</f>
        <v>79</v>
      </c>
      <c r="C83" s="10"/>
      <c r="D83" s="49"/>
      <c r="E83" s="21"/>
      <c r="F83" s="22"/>
      <c r="G83" s="9"/>
      <c r="H83" s="9"/>
      <c r="I83" s="10"/>
      <c r="J83" s="11"/>
      <c r="K83" s="11"/>
    </row>
    <row r="84" spans="2:11" x14ac:dyDescent="0.3">
      <c r="B84" s="9">
        <f>MAX(B$5:B83)+1</f>
        <v>80</v>
      </c>
      <c r="C84" s="10"/>
      <c r="D84" s="49"/>
      <c r="E84" s="21"/>
      <c r="F84" s="22"/>
      <c r="G84" s="9"/>
      <c r="H84" s="9"/>
      <c r="I84" s="10"/>
      <c r="J84" s="11"/>
      <c r="K84" s="11"/>
    </row>
    <row r="85" spans="2:11" x14ac:dyDescent="0.3">
      <c r="B85" s="9">
        <f>MAX(B$5:B84)+1</f>
        <v>81</v>
      </c>
      <c r="C85" s="10"/>
      <c r="D85" s="49"/>
      <c r="E85" s="21"/>
      <c r="F85" s="22"/>
      <c r="G85" s="9"/>
      <c r="H85" s="9"/>
      <c r="I85" s="10"/>
      <c r="J85" s="11"/>
      <c r="K85" s="11"/>
    </row>
    <row r="86" spans="2:11" x14ac:dyDescent="0.3">
      <c r="B86" s="9">
        <f>MAX(B$5:B85)+1</f>
        <v>82</v>
      </c>
      <c r="C86" s="10"/>
      <c r="D86" s="49"/>
      <c r="E86" s="21"/>
      <c r="F86" s="22"/>
      <c r="G86" s="9"/>
      <c r="H86" s="9"/>
      <c r="I86" s="10"/>
      <c r="J86" s="11"/>
      <c r="K86" s="11"/>
    </row>
    <row r="87" spans="2:11" x14ac:dyDescent="0.3">
      <c r="B87" s="9">
        <f>MAX(B$5:B86)+1</f>
        <v>83</v>
      </c>
      <c r="C87" s="10"/>
      <c r="D87" s="49"/>
      <c r="E87" s="21"/>
      <c r="F87" s="22"/>
      <c r="G87" s="9"/>
      <c r="H87" s="9"/>
      <c r="I87" s="10"/>
      <c r="J87" s="11"/>
      <c r="K87" s="11"/>
    </row>
    <row r="88" spans="2:11" x14ac:dyDescent="0.3">
      <c r="B88" s="9">
        <f>MAX(B$5:B87)+1</f>
        <v>84</v>
      </c>
      <c r="C88" s="10"/>
      <c r="D88" s="49"/>
      <c r="E88" s="21"/>
      <c r="F88" s="22"/>
      <c r="G88" s="9"/>
      <c r="H88" s="9"/>
      <c r="I88" s="10"/>
      <c r="J88" s="11"/>
      <c r="K88" s="11"/>
    </row>
    <row r="89" spans="2:11" x14ac:dyDescent="0.3">
      <c r="B89" s="9">
        <f>MAX(B$5:B88)+1</f>
        <v>85</v>
      </c>
      <c r="C89" s="10"/>
      <c r="D89" s="49"/>
      <c r="E89" s="21"/>
      <c r="F89" s="22"/>
      <c r="G89" s="9"/>
      <c r="H89" s="9"/>
      <c r="I89" s="10"/>
      <c r="J89" s="11"/>
      <c r="K89" s="11"/>
    </row>
    <row r="90" spans="2:11" x14ac:dyDescent="0.3">
      <c r="B90" s="9">
        <f>MAX(B$5:B89)+1</f>
        <v>86</v>
      </c>
      <c r="C90" s="10"/>
      <c r="D90" s="49"/>
      <c r="E90" s="21"/>
      <c r="F90" s="22"/>
      <c r="G90" s="9"/>
      <c r="H90" s="9"/>
      <c r="I90" s="10"/>
      <c r="J90" s="11"/>
      <c r="K90" s="11"/>
    </row>
    <row r="91" spans="2:11" x14ac:dyDescent="0.3">
      <c r="B91" s="9">
        <f>MAX(B$5:B90)+1</f>
        <v>87</v>
      </c>
      <c r="C91" s="10"/>
      <c r="D91" s="49"/>
      <c r="E91" s="21"/>
      <c r="F91" s="22"/>
      <c r="G91" s="9"/>
      <c r="H91" s="9"/>
      <c r="I91" s="10"/>
      <c r="J91" s="11"/>
      <c r="K91" s="11"/>
    </row>
    <row r="92" spans="2:11" x14ac:dyDescent="0.3">
      <c r="B92" s="9">
        <f>MAX(B$5:B91)+1</f>
        <v>88</v>
      </c>
      <c r="C92" s="10"/>
      <c r="D92" s="49"/>
      <c r="E92" s="21"/>
      <c r="F92" s="22"/>
      <c r="G92" s="9"/>
      <c r="H92" s="9"/>
      <c r="I92" s="10"/>
      <c r="J92" s="11"/>
      <c r="K92" s="11"/>
    </row>
    <row r="93" spans="2:11" x14ac:dyDescent="0.3">
      <c r="B93" s="9">
        <f>MAX(B$5:B92)+1</f>
        <v>89</v>
      </c>
      <c r="C93" s="10"/>
      <c r="D93" s="49"/>
      <c r="E93" s="21"/>
      <c r="F93" s="22"/>
      <c r="G93" s="9"/>
      <c r="H93" s="9"/>
      <c r="I93" s="10"/>
      <c r="J93" s="11"/>
      <c r="K93" s="11"/>
    </row>
    <row r="94" spans="2:11" x14ac:dyDescent="0.3">
      <c r="B94" s="9">
        <f>MAX(B$5:B93)+1</f>
        <v>90</v>
      </c>
      <c r="C94" s="10"/>
      <c r="D94" s="49"/>
      <c r="E94" s="21"/>
      <c r="F94" s="22"/>
      <c r="G94" s="9"/>
      <c r="H94" s="9"/>
      <c r="I94" s="10"/>
      <c r="J94" s="11"/>
      <c r="K94" s="11"/>
    </row>
    <row r="95" spans="2:11" x14ac:dyDescent="0.3">
      <c r="B95" s="9">
        <f>MAX(B$5:B94)+1</f>
        <v>91</v>
      </c>
      <c r="C95" s="10"/>
      <c r="D95" s="49"/>
      <c r="E95" s="21"/>
      <c r="F95" s="22"/>
      <c r="G95" s="9"/>
      <c r="H95" s="9"/>
      <c r="I95" s="10"/>
      <c r="J95" s="11"/>
      <c r="K95" s="11"/>
    </row>
    <row r="96" spans="2:11" x14ac:dyDescent="0.3">
      <c r="B96" s="9">
        <f>MAX(B$5:B95)+1</f>
        <v>92</v>
      </c>
      <c r="C96" s="10"/>
      <c r="D96" s="49"/>
      <c r="E96" s="21"/>
      <c r="F96" s="22"/>
      <c r="G96" s="9"/>
      <c r="H96" s="9"/>
      <c r="I96" s="10"/>
      <c r="J96" s="11"/>
      <c r="K96" s="11"/>
    </row>
    <row r="97" spans="2:11" x14ac:dyDescent="0.3">
      <c r="B97" s="9">
        <f>MAX(B$5:B96)+1</f>
        <v>93</v>
      </c>
      <c r="C97" s="10"/>
      <c r="D97" s="49"/>
      <c r="E97" s="21"/>
      <c r="F97" s="22"/>
      <c r="G97" s="9"/>
      <c r="H97" s="9"/>
      <c r="I97" s="10"/>
      <c r="J97" s="11"/>
      <c r="K97" s="11"/>
    </row>
    <row r="98" spans="2:11" x14ac:dyDescent="0.3">
      <c r="B98" s="9">
        <f>MAX(B$5:B97)+1</f>
        <v>94</v>
      </c>
      <c r="C98" s="10"/>
      <c r="D98" s="49"/>
      <c r="E98" s="21"/>
      <c r="F98" s="22"/>
      <c r="G98" s="9"/>
      <c r="H98" s="9"/>
      <c r="I98" s="10"/>
      <c r="J98" s="11"/>
      <c r="K98" s="11"/>
    </row>
    <row r="99" spans="2:11" x14ac:dyDescent="0.3">
      <c r="B99" s="9">
        <f>MAX(B$5:B98)+1</f>
        <v>95</v>
      </c>
      <c r="C99" s="10"/>
      <c r="D99" s="49"/>
      <c r="E99" s="21"/>
      <c r="F99" s="22"/>
      <c r="G99" s="9"/>
      <c r="H99" s="9"/>
      <c r="I99" s="10"/>
      <c r="J99" s="11"/>
      <c r="K99" s="11"/>
    </row>
    <row r="100" spans="2:11" x14ac:dyDescent="0.3">
      <c r="B100" s="9">
        <f>MAX(B$5:B99)+1</f>
        <v>96</v>
      </c>
      <c r="C100" s="10"/>
      <c r="D100" s="49"/>
      <c r="E100" s="21"/>
      <c r="F100" s="22"/>
      <c r="G100" s="9"/>
      <c r="H100" s="9"/>
      <c r="I100" s="10"/>
      <c r="J100" s="11"/>
      <c r="K100" s="11"/>
    </row>
    <row r="101" spans="2:11" x14ac:dyDescent="0.3">
      <c r="B101" s="9">
        <f>MAX(B$5:B100)+1</f>
        <v>97</v>
      </c>
      <c r="C101" s="10"/>
      <c r="D101" s="49"/>
      <c r="E101" s="21"/>
      <c r="F101" s="22"/>
      <c r="G101" s="9"/>
      <c r="H101" s="9"/>
      <c r="I101" s="10"/>
      <c r="J101" s="11"/>
      <c r="K101" s="11"/>
    </row>
    <row r="102" spans="2:11" x14ac:dyDescent="0.3">
      <c r="B102" s="9">
        <f>MAX(B$5:B101)+1</f>
        <v>98</v>
      </c>
      <c r="C102" s="10"/>
      <c r="D102" s="49"/>
      <c r="E102" s="21"/>
      <c r="F102" s="22"/>
      <c r="G102" s="9"/>
      <c r="H102" s="9"/>
      <c r="I102" s="10"/>
      <c r="J102" s="11"/>
      <c r="K102" s="11"/>
    </row>
    <row r="103" spans="2:11" x14ac:dyDescent="0.3">
      <c r="B103" s="9">
        <f>MAX(B$5:B102)+1</f>
        <v>99</v>
      </c>
      <c r="C103" s="10"/>
      <c r="D103" s="49"/>
      <c r="E103" s="21"/>
      <c r="F103" s="22"/>
      <c r="G103" s="9"/>
      <c r="H103" s="9"/>
      <c r="I103" s="10"/>
      <c r="J103" s="11"/>
      <c r="K103" s="11"/>
    </row>
    <row r="104" spans="2:11" x14ac:dyDescent="0.3">
      <c r="B104" s="9">
        <f>MAX(B$5:B103)+1</f>
        <v>100</v>
      </c>
      <c r="C104" s="10"/>
      <c r="D104" s="49"/>
      <c r="E104" s="21"/>
      <c r="F104" s="22"/>
      <c r="G104" s="9"/>
      <c r="H104" s="9"/>
      <c r="I104" s="10"/>
      <c r="J104" s="11"/>
      <c r="K104" s="11"/>
    </row>
  </sheetData>
  <autoFilter ref="B4:K97" xr:uid="{876FEF02-21FA-40B3-A7C7-0BAFC3934B31}"/>
  <conditionalFormatting sqref="G5:G489">
    <cfRule type="expression" dxfId="5" priority="10">
      <formula>SEARCH("Medium",$G5)&gt;0</formula>
    </cfRule>
    <cfRule type="expression" dxfId="4" priority="11">
      <formula>SEARCH("High",$G5)&gt;0</formula>
    </cfRule>
    <cfRule type="expression" dxfId="3" priority="12">
      <formula>SEARCH("Highest",$G5)&gt;0</formula>
    </cfRule>
  </conditionalFormatting>
  <conditionalFormatting sqref="H5:H489">
    <cfRule type="expression" dxfId="2" priority="15">
      <formula>SEARCH("Partial",$H5)&gt;0</formula>
    </cfRule>
    <cfRule type="expression" dxfId="1" priority="16">
      <formula>SEARCH("Open",$H5)&gt;0</formula>
    </cfRule>
    <cfRule type="expression" dxfId="0" priority="17">
      <formula>SEARCH("Closed",$H5)&gt;0</formula>
    </cfRule>
  </conditionalFormatting>
  <dataValidations disablePrompts="1" count="2">
    <dataValidation type="list" allowBlank="1" showInputMessage="1" showErrorMessage="1" sqref="H5:H104" xr:uid="{E50720CB-4479-4DC3-A621-E94596F67EBF}">
      <formula1>"Open, Partial, Closed, N/A"</formula1>
    </dataValidation>
    <dataValidation type="list" allowBlank="1" showInputMessage="1" showErrorMessage="1" sqref="G5:G121" xr:uid="{8592E68E-CFB8-4FE4-918A-8F64D7A4DEB6}">
      <formula1>"Highest, High, Medium, Low"</formula1>
    </dataValidation>
  </dataValidations>
  <printOptions horizontalCentered="1"/>
  <pageMargins left="0.25" right="0.25" top="0.25" bottom="0.5" header="0" footer="0.25"/>
  <pageSetup scale="47" fitToHeight="0" orientation="landscape" r:id="rId1"/>
  <headerFooter alignWithMargins="0">
    <oddFooter>&amp;L&amp;1#&amp;"Calibri,Regular"&amp;10&amp;K000000Confidential&amp;C&amp;G&amp;R&amp;8&amp;P of &amp;N</oddFooter>
  </headerFooter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B751D3E-6C91-4962-A1A8-AA8A342856E7}">
          <x14:formula1>
            <xm:f>Overview!$B$71:$B$80</xm:f>
          </x14:formula1>
          <xm:sqref>D5:D135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a04e207-492c-4d17-bc99-9a0c857a8ea8" xsi:nil="true"/>
    <lcf76f155ced4ddcb4097134ff3c332f xmlns="ba04e207-492c-4d17-bc99-9a0c857a8ea8">
      <Terms xmlns="http://schemas.microsoft.com/office/infopath/2007/PartnerControls"/>
    </lcf76f155ced4ddcb4097134ff3c332f>
    <TaxCatchAll xmlns="dbb385fd-7d6a-4faa-8b43-17f1e43eef9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A50D0084AB704ABAB79EA8984CD87D" ma:contentTypeVersion="17" ma:contentTypeDescription="Create a new document." ma:contentTypeScope="" ma:versionID="3290c851de6a4e56f1615ce0f932ba7b">
  <xsd:schema xmlns:xsd="http://www.w3.org/2001/XMLSchema" xmlns:xs="http://www.w3.org/2001/XMLSchema" xmlns:p="http://schemas.microsoft.com/office/2006/metadata/properties" xmlns:ns2="ba04e207-492c-4d17-bc99-9a0c857a8ea8" xmlns:ns3="dbb385fd-7d6a-4faa-8b43-17f1e43eef92" targetNamespace="http://schemas.microsoft.com/office/2006/metadata/properties" ma:root="true" ma:fieldsID="71f256a1ce6c6bc72bb1ecfd4c7538b1" ns2:_="" ns3:_="">
    <xsd:import namespace="ba04e207-492c-4d17-bc99-9a0c857a8ea8"/>
    <xsd:import namespace="dbb385fd-7d6a-4faa-8b43-17f1e43eef9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e207-492c-4d17-bc99-9a0c857a8ea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format="Dropdown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dc896b1-a773-47ee-9c00-bdef5aea9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b385fd-7d6a-4faa-8b43-17f1e43eef9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af90f4d-d419-4663-939b-4abbfa5203c8}" ma:internalName="TaxCatchAll" ma:showField="CatchAllData" ma:web="dbb385fd-7d6a-4faa-8b43-17f1e43ee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7312-E98D-4B1E-AE04-DDB3593E5920}">
  <ds:schemaRefs>
    <ds:schemaRef ds:uri="http://purl.org/dc/elements/1.1/"/>
    <ds:schemaRef ds:uri="dbb385fd-7d6a-4faa-8b43-17f1e43eef92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a04e207-492c-4d17-bc99-9a0c857a8ea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265A90F-13B3-4446-A446-2D314BE6E4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04e207-492c-4d17-bc99-9a0c857a8ea8"/>
    <ds:schemaRef ds:uri="dbb385fd-7d6a-4faa-8b43-17f1e43ee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B3C9A4-5F27-4DDE-A316-FA0D1D48FB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Overview</vt:lpstr>
      <vt:lpstr>Buyer</vt:lpstr>
      <vt:lpstr>Advisor A</vt:lpstr>
      <vt:lpstr>Advisor B</vt:lpstr>
      <vt:lpstr>Advisor C</vt:lpstr>
      <vt:lpstr>'Advisor A'!Print_Area</vt:lpstr>
      <vt:lpstr>'Advisor B'!Print_Area</vt:lpstr>
      <vt:lpstr>'Advisor C'!Print_Area</vt:lpstr>
      <vt:lpstr>Buyer!Print_Area</vt:lpstr>
      <vt:lpstr>Overview!Print_Area</vt:lpstr>
      <vt:lpstr>'Advisor A'!Print_Titles</vt:lpstr>
      <vt:lpstr>'Advisor B'!Print_Titles</vt:lpstr>
      <vt:lpstr>'Advisor C'!Print_Titles</vt:lpstr>
      <vt:lpstr>Buyer!Print_Titles</vt:lpstr>
      <vt:lpstr>Overview!Print_Titles</vt:lpstr>
      <vt:lpstr>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Ung, Sok</dc:creator>
  <cp:keywords/>
  <dc:description/>
  <cp:lastModifiedBy>Ung, Sok</cp:lastModifiedBy>
  <cp:revision/>
  <dcterms:created xsi:type="dcterms:W3CDTF">2008-05-22T16:17:18Z</dcterms:created>
  <dcterms:modified xsi:type="dcterms:W3CDTF">2026-06-10T02:34:34Z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{DE6419C4-C96E-438E-933B-09EF3F270723}</vt:lpwstr>
  </property>
  <property fmtid="{D5CDD505-2E9C-101B-9397-08002B2CF9AE}" pid="3" name="MSIP_Label_96de02f7-b21c-43fa-bf93-05c5d6c0c759_Enabled">
    <vt:lpwstr>true</vt:lpwstr>
  </property>
  <property fmtid="{D5CDD505-2E9C-101B-9397-08002B2CF9AE}" pid="4" name="MSIP_Label_96de02f7-b21c-43fa-bf93-05c5d6c0c759_SetDate">
    <vt:lpwstr>2022-12-02T18:53:36Z</vt:lpwstr>
  </property>
  <property fmtid="{D5CDD505-2E9C-101B-9397-08002B2CF9AE}" pid="5" name="MSIP_Label_96de02f7-b21c-43fa-bf93-05c5d6c0c759_Method">
    <vt:lpwstr>Privileged</vt:lpwstr>
  </property>
  <property fmtid="{D5CDD505-2E9C-101B-9397-08002B2CF9AE}" pid="6" name="MSIP_Label_96de02f7-b21c-43fa-bf93-05c5d6c0c759_Name">
    <vt:lpwstr>96de02f7-b21c-43fa-bf93-05c5d6c0c759</vt:lpwstr>
  </property>
  <property fmtid="{D5CDD505-2E9C-101B-9397-08002B2CF9AE}" pid="7" name="MSIP_Label_96de02f7-b21c-43fa-bf93-05c5d6c0c759_SiteId">
    <vt:lpwstr>d9da684f-2c03-432a-a7b6-ed714ffc7683</vt:lpwstr>
  </property>
  <property fmtid="{D5CDD505-2E9C-101B-9397-08002B2CF9AE}" pid="8" name="MSIP_Label_96de02f7-b21c-43fa-bf93-05c5d6c0c759_ActionId">
    <vt:lpwstr>5a7eabf5-3af1-4f2b-be77-49e402457982</vt:lpwstr>
  </property>
  <property fmtid="{D5CDD505-2E9C-101B-9397-08002B2CF9AE}" pid="9" name="MSIP_Label_96de02f7-b21c-43fa-bf93-05c5d6c0c759_ContentBits">
    <vt:lpwstr>2</vt:lpwstr>
  </property>
  <property fmtid="{D5CDD505-2E9C-101B-9397-08002B2CF9AE}" pid="10" name="ContentTypeId">
    <vt:lpwstr>0x01010087A50D0084AB704ABAB79EA8984CD87D</vt:lpwstr>
  </property>
  <property fmtid="{D5CDD505-2E9C-101B-9397-08002B2CF9AE}" pid="11" name="MediaServiceImageTags">
    <vt:lpwstr/>
  </property>
</Properties>
</file>